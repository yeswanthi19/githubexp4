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E40DB3C-40F0-4110-9674-C219FAB2F346}" xr6:coauthVersionLast="36" xr6:coauthVersionMax="36" xr10:uidLastSave="{00000000-0000-0000-0000-000000000000}"/>
  <bookViews>
    <workbookView xWindow="0" yWindow="0" windowWidth="16410" windowHeight="7545" activeTab="1" xr2:uid="{00000000-000D-0000-FFFF-FFFF00000000}"/>
  </bookViews>
  <sheets>
    <sheet name="Sheet1" sheetId="1" r:id="rId1"/>
    <sheet name="Sheet6" sheetId="6" r:id="rId2"/>
    <sheet name="Sheet2" sheetId="2" r:id="rId3"/>
    <sheet name="Sheet5" sheetId="3" r:id="rId4"/>
    <sheet name="Sheet4" sheetId="4" r:id="rId5"/>
    <sheet name="Sheet3" sheetId="5" r:id="rId6"/>
  </sheets>
  <definedNames>
    <definedName name="solver_adj" localSheetId="0" hidden="1">Sheet1!$E$36</definedName>
    <definedName name="solver_adj" localSheetId="2" hidden="1">Sheet2!$I$28:$J$28</definedName>
    <definedName name="solver_adj" localSheetId="5">Sheet3!$H$9:$I$9</definedName>
    <definedName name="solver_adj" localSheetId="1" hidden="1">Sheet6!$I$71:$I$72</definedName>
    <definedName name="solver_cvg" localSheetId="0" hidden="1">0.0001</definedName>
    <definedName name="solver_cvg" localSheetId="2">0.0001</definedName>
    <definedName name="solver_cvg" localSheetId="4">0.0001</definedName>
    <definedName name="solver_cvg" localSheetId="1" hidden="1">0.0001</definedName>
    <definedName name="solver_drv" localSheetId="0" hidden="1">1</definedName>
    <definedName name="solver_drv" localSheetId="2">1</definedName>
    <definedName name="solver_drv" localSheetId="4">2</definedName>
    <definedName name="solver_drv" localSheetId="1" hidden="1">1</definedName>
    <definedName name="solver_eng" localSheetId="0" hidden="1">1</definedName>
    <definedName name="solver_eng" localSheetId="2" hidden="1">1</definedName>
    <definedName name="solver_eng" localSheetId="4">1</definedName>
    <definedName name="solver_eng" localSheetId="1" hidden="1">1</definedName>
    <definedName name="solver_est" localSheetId="0" hidden="1">1</definedName>
    <definedName name="solver_est" localSheetId="2">1</definedName>
    <definedName name="solver_est" localSheetId="4">1</definedName>
    <definedName name="solver_est" localSheetId="1" hidden="1">1</definedName>
    <definedName name="solver_itr" localSheetId="0" hidden="1">2147483647</definedName>
    <definedName name="solver_itr" localSheetId="2">2147483647</definedName>
    <definedName name="solver_itr" localSheetId="4">2147483647</definedName>
    <definedName name="solver_itr" localSheetId="1" hidden="1">2147483647</definedName>
    <definedName name="solver_lhs1" localSheetId="0" hidden="1">Sheet1!$E$37</definedName>
    <definedName name="solver_lhs1" localSheetId="2" hidden="1">Sheet2!$J$28</definedName>
    <definedName name="solver_lhs1" localSheetId="5">Sheet3!$I$9</definedName>
    <definedName name="solver_lhs1" localSheetId="1" hidden="1">Sheet6!$I$72</definedName>
    <definedName name="solver_lhs2" localSheetId="0" hidden="1">Sheet1!#REF!</definedName>
    <definedName name="solver_lhs2" localSheetId="2" hidden="1">Sheet2!$J$28</definedName>
    <definedName name="solver_lhs2" localSheetId="5">Sheet3!$I$9</definedName>
    <definedName name="solver_lhs2" localSheetId="1" hidden="1">Sheet6!$I$72</definedName>
    <definedName name="solver_lhs3" localSheetId="2" hidden="1">Sheet2!$L$28</definedName>
    <definedName name="solver_lhs3" localSheetId="5">Sheet3!$K$9</definedName>
    <definedName name="solver_lhs3" localSheetId="1" hidden="1">Sheet6!$I$75</definedName>
    <definedName name="solver_lin" localSheetId="0">2</definedName>
    <definedName name="solver_mip" localSheetId="0" hidden="1">2147483647</definedName>
    <definedName name="solver_mip" localSheetId="2">2147483647</definedName>
    <definedName name="solver_mip" localSheetId="4">2147483647</definedName>
    <definedName name="solver_mip" localSheetId="1" hidden="1">2147483647</definedName>
    <definedName name="solver_mni" localSheetId="0" hidden="1">30</definedName>
    <definedName name="solver_mni" localSheetId="2">30</definedName>
    <definedName name="solver_mni" localSheetId="4">30</definedName>
    <definedName name="solver_mni" localSheetId="1" hidden="1">30</definedName>
    <definedName name="solver_mrt" localSheetId="0" hidden="1">0.075</definedName>
    <definedName name="solver_mrt" localSheetId="2">0.075</definedName>
    <definedName name="solver_mrt" localSheetId="4">0.075</definedName>
    <definedName name="solver_mrt" localSheetId="1" hidden="1">0.075</definedName>
    <definedName name="solver_msl" localSheetId="0" hidden="1">2</definedName>
    <definedName name="solver_msl" localSheetId="2">2</definedName>
    <definedName name="solver_msl" localSheetId="4">2</definedName>
    <definedName name="solver_msl" localSheetId="1" hidden="1">2</definedName>
    <definedName name="solver_neg" localSheetId="0" hidden="1">1</definedName>
    <definedName name="solver_neg" localSheetId="2" hidden="1">1</definedName>
    <definedName name="solver_neg" localSheetId="4">1</definedName>
    <definedName name="solver_neg" localSheetId="1" hidden="1">1</definedName>
    <definedName name="solver_nod" localSheetId="0" hidden="1">2147483647</definedName>
    <definedName name="solver_nod" localSheetId="2">2147483647</definedName>
    <definedName name="solver_nod" localSheetId="4">2147483647</definedName>
    <definedName name="solver_nod" localSheetId="1" hidden="1">2147483647</definedName>
    <definedName name="solver_num" localSheetId="0" hidden="1">1</definedName>
    <definedName name="solver_num" localSheetId="2" hidden="1">3</definedName>
    <definedName name="solver_num" localSheetId="4">3</definedName>
    <definedName name="solver_num" localSheetId="1" hidden="1">3</definedName>
    <definedName name="solver_nwt" localSheetId="0" hidden="1">1</definedName>
    <definedName name="solver_nwt" localSheetId="2">1</definedName>
    <definedName name="solver_nwt" localSheetId="4">1</definedName>
    <definedName name="solver_nwt" localSheetId="1" hidden="1">1</definedName>
    <definedName name="solver_opt" localSheetId="0" hidden="1">Sheet1!$E$40</definedName>
    <definedName name="solver_opt" localSheetId="2" hidden="1">Sheet2!$K$28</definedName>
    <definedName name="solver_opt" localSheetId="5">Sheet3!$J$9</definedName>
    <definedName name="solver_opt" localSheetId="1" hidden="1">Sheet6!$I$73</definedName>
    <definedName name="solver_pre" localSheetId="0" hidden="1">0.000001</definedName>
    <definedName name="solver_pre" localSheetId="2">0.000001</definedName>
    <definedName name="solver_pre" localSheetId="4">0.000001</definedName>
    <definedName name="solver_pre" localSheetId="1" hidden="1">0.000001</definedName>
    <definedName name="solver_rbv" localSheetId="0" hidden="1">1</definedName>
    <definedName name="solver_rbv" localSheetId="2">1</definedName>
    <definedName name="solver_rbv" localSheetId="4">2</definedName>
    <definedName name="solver_rbv" localSheetId="1" hidden="1">1</definedName>
    <definedName name="solver_rel1" localSheetId="0" hidden="1">1</definedName>
    <definedName name="solver_rel1" localSheetId="2" hidden="1">1</definedName>
    <definedName name="solver_rel1" localSheetId="4">1</definedName>
    <definedName name="solver_rel1" localSheetId="1" hidden="1">1</definedName>
    <definedName name="solver_rel2" localSheetId="0" hidden="1">1</definedName>
    <definedName name="solver_rel2" localSheetId="2" hidden="1">3</definedName>
    <definedName name="solver_rel2" localSheetId="4">3</definedName>
    <definedName name="solver_rel2" localSheetId="1" hidden="1">3</definedName>
    <definedName name="solver_rel3" localSheetId="2" hidden="1">3</definedName>
    <definedName name="solver_rel3" localSheetId="4">3</definedName>
    <definedName name="solver_rel3" localSheetId="1" hidden="1">1</definedName>
    <definedName name="solver_rhs1" localSheetId="0" hidden="1">1000</definedName>
    <definedName name="solver_rhs1" localSheetId="2" hidden="1">Sheet2!$E$23</definedName>
    <definedName name="solver_rhs1" localSheetId="5">Sheet3!$E$22</definedName>
    <definedName name="solver_rhs1" localSheetId="1" hidden="1">10000</definedName>
    <definedName name="solver_rhs2" localSheetId="0" hidden="1">1000</definedName>
    <definedName name="solver_rhs2" localSheetId="2" hidden="1">Sheet2!$E$24</definedName>
    <definedName name="solver_rhs2" localSheetId="5">Sheet3!$E$23</definedName>
    <definedName name="solver_rhs2" localSheetId="1" hidden="1">1000</definedName>
    <definedName name="solver_rhs3" localSheetId="2" hidden="1">Sheet2!$E$22</definedName>
    <definedName name="solver_rhs3" localSheetId="5">Sheet3!$E$21</definedName>
    <definedName name="solver_rhs3" localSheetId="1" hidden="1">4000</definedName>
    <definedName name="solver_rlx" localSheetId="0" hidden="1">2</definedName>
    <definedName name="solver_rlx" localSheetId="2">2</definedName>
    <definedName name="solver_rlx" localSheetId="4">2</definedName>
    <definedName name="solver_rlx" localSheetId="1" hidden="1">2</definedName>
    <definedName name="solver_rsd" localSheetId="0" hidden="1">0</definedName>
    <definedName name="solver_rsd" localSheetId="2">0</definedName>
    <definedName name="solver_rsd" localSheetId="4">0</definedName>
    <definedName name="solver_rsd" localSheetId="1" hidden="1">0</definedName>
    <definedName name="solver_scl" localSheetId="0" hidden="1">1</definedName>
    <definedName name="solver_scl" localSheetId="2">1</definedName>
    <definedName name="solver_scl" localSheetId="4">2</definedName>
    <definedName name="solver_scl" localSheetId="1" hidden="1">1</definedName>
    <definedName name="solver_sho" localSheetId="0" hidden="1">2</definedName>
    <definedName name="solver_sho" localSheetId="2">2</definedName>
    <definedName name="solver_sho" localSheetId="4">2</definedName>
    <definedName name="solver_sho" localSheetId="1" hidden="1">2</definedName>
    <definedName name="solver_ssz" localSheetId="0" hidden="1">100</definedName>
    <definedName name="solver_ssz" localSheetId="2">100</definedName>
    <definedName name="solver_ssz" localSheetId="4">100</definedName>
    <definedName name="solver_ssz" localSheetId="1" hidden="1">100</definedName>
    <definedName name="solver_tim" localSheetId="0" hidden="1">2147483647</definedName>
    <definedName name="solver_tim" localSheetId="2">2147483647</definedName>
    <definedName name="solver_tim" localSheetId="4">2147483647</definedName>
    <definedName name="solver_tim" localSheetId="1" hidden="1">2147483647</definedName>
    <definedName name="solver_tol" localSheetId="0" hidden="1">0.01</definedName>
    <definedName name="solver_tol" localSheetId="2">0.01</definedName>
    <definedName name="solver_tol" localSheetId="4">0.01</definedName>
    <definedName name="solver_tol" localSheetId="1" hidden="1">0.01</definedName>
    <definedName name="solver_typ" localSheetId="0" hidden="1">1</definedName>
    <definedName name="solver_typ" localSheetId="2" hidden="1">1</definedName>
    <definedName name="solver_typ" localSheetId="4">1</definedName>
    <definedName name="solver_typ" localSheetId="1" hidden="1">1</definedName>
    <definedName name="solver_val" localSheetId="0" hidden="1">0</definedName>
    <definedName name="solver_val" localSheetId="2" hidden="1">0</definedName>
    <definedName name="solver_val" localSheetId="4">0</definedName>
    <definedName name="solver_val" localSheetId="1" hidden="1">0</definedName>
    <definedName name="solver_ver" localSheetId="0" hidden="1">3</definedName>
    <definedName name="solver_ver" localSheetId="2" hidden="1">3</definedName>
    <definedName name="solver_ver" localSheetId="4">3</definedName>
    <definedName name="solver_ver" localSheetId="1" hidden="1">3</definedName>
  </definedNames>
  <calcPr calcId="191029"/>
  <extLst>
    <ext uri="GoogleSheetsCustomDataVersion2">
      <go:sheetsCustomData xmlns:go="http://customooxmlschemas.google.com/" r:id="rId9" roundtripDataChecksum="nGaGc6yLotqpQ4RsIGySO46AdbJXMgVz+bbZzedjI4I="/>
    </ext>
  </extLst>
</workbook>
</file>

<file path=xl/calcChain.xml><?xml version="1.0" encoding="utf-8"?>
<calcChain xmlns="http://schemas.openxmlformats.org/spreadsheetml/2006/main">
  <c r="D81" i="6" l="1"/>
  <c r="D79" i="6"/>
  <c r="D78" i="6"/>
  <c r="D77" i="6"/>
  <c r="D80" i="6"/>
  <c r="I73" i="6"/>
  <c r="I75" i="6" s="1"/>
  <c r="I74" i="6"/>
  <c r="H39" i="2"/>
  <c r="H38" i="2"/>
  <c r="G60" i="6"/>
  <c r="G59" i="6"/>
  <c r="A52" i="6"/>
  <c r="E39" i="1"/>
  <c r="E37" i="1"/>
  <c r="E40" i="1" s="1"/>
  <c r="E38" i="1" l="1"/>
  <c r="P26" i="1" l="1"/>
  <c r="P27" i="1" s="1"/>
  <c r="P30" i="1" s="1"/>
  <c r="K25" i="1"/>
  <c r="K28" i="1" s="1"/>
  <c r="E24" i="1"/>
  <c r="G17" i="1"/>
  <c r="G20" i="1" s="1"/>
  <c r="J9" i="5"/>
  <c r="K9" i="5" s="1"/>
  <c r="K28" i="2"/>
  <c r="L28" i="2" s="1"/>
  <c r="E10" i="1"/>
  <c r="P28" i="1" l="1"/>
  <c r="K26" i="1"/>
  <c r="G18" i="1"/>
  <c r="E11" i="1"/>
  <c r="E12" i="1" s="1"/>
  <c r="E13" i="1" s="1"/>
</calcChain>
</file>

<file path=xl/sharedStrings.xml><?xml version="1.0" encoding="utf-8"?>
<sst xmlns="http://schemas.openxmlformats.org/spreadsheetml/2006/main" count="170" uniqueCount="80">
  <si>
    <t>Maximize the Profit</t>
  </si>
  <si>
    <t>Sales = -2.9 (price) + 3000</t>
  </si>
  <si>
    <t>Total revenue = (price)(sales)</t>
  </si>
  <si>
    <t>Cost = 10(Sales) + 5000</t>
  </si>
  <si>
    <t>Price</t>
  </si>
  <si>
    <t>Sales</t>
  </si>
  <si>
    <t>Sales = -2.9(Price)+3000</t>
  </si>
  <si>
    <t>Total Cost</t>
  </si>
  <si>
    <t>Total Cost = 10*Sales+5000</t>
  </si>
  <si>
    <t>Cost per unit</t>
  </si>
  <si>
    <t>Cost per Unit  = Total cost /Sales</t>
  </si>
  <si>
    <t>Profit</t>
  </si>
  <si>
    <t>Profit = (Price-Cost per unit)*Sales</t>
  </si>
  <si>
    <t>Sales Promotion Data</t>
  </si>
  <si>
    <t>Week</t>
  </si>
  <si>
    <t xml:space="preserve">Ads Budget </t>
  </si>
  <si>
    <t>Cost Price per unit</t>
  </si>
  <si>
    <t>Minimum Profit</t>
  </si>
  <si>
    <t>Maximum Ads Budget</t>
  </si>
  <si>
    <t>Minimum Ads Budge</t>
  </si>
  <si>
    <t>Sales = -142xPrice + 0.10xAd+3092</t>
  </si>
  <si>
    <t>Ad Bud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</si>
  <si>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</si>
  <si>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</si>
  <si>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</si>
  <si>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</si>
  <si>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</si>
  <si>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</si>
  <si>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</si>
  <si>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</si>
  <si>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</si>
  <si>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</si>
  <si>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</si>
  <si>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</si>
  <si>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</si>
  <si>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</si>
  <si>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</si>
  <si>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</si>
  <si>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</si>
  <si>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</si>
  <si>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</si>
  <si>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</si>
  <si>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</si>
  <si>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</si>
  <si>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</si>
  <si>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</si>
  <si>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</si>
  <si>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</si>
  <si>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Sales</t>
  </si>
  <si>
    <t>Residuals</t>
  </si>
  <si>
    <t>sales = -142*price + 0.10*ad budget + 3092</t>
  </si>
  <si>
    <t>Ad budget</t>
  </si>
  <si>
    <t>sales</t>
  </si>
  <si>
    <t>Total profit</t>
  </si>
  <si>
    <t>predict sales if price is 27. spent on ads is 1100.</t>
  </si>
  <si>
    <t xml:space="preserve">Total profit = net profit * sales </t>
  </si>
  <si>
    <t>net profit = price - cost price</t>
  </si>
  <si>
    <t>decision variable:price</t>
  </si>
  <si>
    <t>set the objective: maximize the profit</t>
  </si>
  <si>
    <t>set the constraint:&lt;=1000</t>
  </si>
  <si>
    <t xml:space="preserve">price </t>
  </si>
  <si>
    <t>total cost</t>
  </si>
  <si>
    <t>cost per unit</t>
  </si>
  <si>
    <t>profit</t>
  </si>
  <si>
    <t>fixed cost</t>
  </si>
  <si>
    <t>fixed cost+cost per unit*seles</t>
  </si>
  <si>
    <t>s.p-c.p*quantity</t>
  </si>
  <si>
    <t>we have to maximize profit</t>
  </si>
  <si>
    <t>by chaning variable price</t>
  </si>
  <si>
    <t>sales&lt;=1000</t>
  </si>
  <si>
    <t>what will be sales if price is 20 and budget is 1700</t>
  </si>
  <si>
    <t>what will be sales if price is 10 and budget is 3500</t>
  </si>
  <si>
    <t>price</t>
  </si>
  <si>
    <t>ads budget</t>
  </si>
  <si>
    <t>cost per unit=8</t>
  </si>
  <si>
    <t>min profit=1000</t>
  </si>
  <si>
    <t>max budget =10000</t>
  </si>
  <si>
    <t>min budget 1000</t>
  </si>
  <si>
    <t>maximize sales</t>
  </si>
  <si>
    <t>min profit=4000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</si>
</sst>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"/>
    <numFmt numFmtId="166" formatCode="&quot;$&quot;#,##0.0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20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</fills>
  <borders count="9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/>
    <xf numFmtId="164" fontId="5" fillId="2" borderId="1" xfId="0" applyNumberFormat="1" applyFont="1" applyFill="1" applyBorder="1" applyAlignment="1">
      <alignment horizontal="left"/>
    </xf>
    <xf numFmtId="1" fontId="5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164" fontId="5" fillId="4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3" fillId="0" borderId="6" xfId="0" applyFont="1" applyBorder="1"/>
    <xf numFmtId="0" fontId="9" fillId="0" borderId="0" xfId="0" applyFont="1" applyAlignment="1">
      <alignment horizontal="center" vertical="center" readingOrder="1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5" fillId="0" borderId="0" xfId="0" applyFont="1" applyFill="1" applyBorder="1" applyAlignment="1"/>
    <xf numFmtId="0" fontId="2" fillId="0" borderId="0" xfId="0" applyFont="1" applyFill="1" applyBorder="1" applyAlignment="1"/>
    <xf numFmtId="0" fontId="8" fillId="0" borderId="5" xfId="0" applyFont="1" applyBorder="1" applyAlignment="1">
      <alignment horizontal="center"/>
    </xf>
    <xf numFmtId="0" fontId="7" fillId="0" borderId="5" xfId="0" applyFont="1" applyBorder="1"/>
    <xf numFmtId="0" fontId="6" fillId="3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9" fillId="0" borderId="0" xfId="0" applyFont="1" applyAlignment="1">
      <alignment horizontal="center" vertical="center" readingOrder="1"/>
    </xf>
    <xf numFmtId="0" fontId="0" fillId="0" borderId="0" xfId="0" applyFont="1" applyAlignment="1"/>
    <xf numFmtId="0" fontId="10" fillId="0" borderId="0" xfId="0" applyFont="1" applyAlignment="1">
      <alignment horizontal="center" vertical="center"/>
    </xf>
    <xf numFmtId="0" fontId="0" fillId="0" borderId="0" xfId="0" applyFill="1" applyBorder="1" applyAlignment="1"/>
    <xf numFmtId="0" fontId="0" fillId="0" borderId="7" xfId="0" applyFill="1" applyBorder="1" applyAlignment="1"/>
    <xf numFmtId="0" fontId="11" fillId="0" borderId="8" xfId="0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Continuous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Sheet3!$C$4:$C$18</c:f>
              <c:numCache>
                <c:formatCode>"$"#,##0.0</c:formatCode>
                <c:ptCount val="15"/>
                <c:pt idx="0">
                  <c:v>15</c:v>
                </c:pt>
                <c:pt idx="1">
                  <c:v>16.399999999999999</c:v>
                </c:pt>
                <c:pt idx="2">
                  <c:v>13</c:v>
                </c:pt>
                <c:pt idx="3">
                  <c:v>16.5</c:v>
                </c:pt>
                <c:pt idx="4">
                  <c:v>12</c:v>
                </c:pt>
                <c:pt idx="5">
                  <c:v>11</c:v>
                </c:pt>
                <c:pt idx="6">
                  <c:v>14.3</c:v>
                </c:pt>
                <c:pt idx="7">
                  <c:v>18.2</c:v>
                </c:pt>
                <c:pt idx="8">
                  <c:v>9.6</c:v>
                </c:pt>
                <c:pt idx="9">
                  <c:v>15.4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15</c:v>
                </c:pt>
                <c:pt idx="14">
                  <c:v>11</c:v>
                </c:pt>
              </c:numCache>
            </c:numRef>
          </c:xVal>
          <c:yVal>
            <c:numRef>
              <c:f>Sheet3!$E$4:$E$18</c:f>
              <c:numCache>
                <c:formatCode>General</c:formatCode>
                <c:ptCount val="15"/>
                <c:pt idx="0">
                  <c:v>1240</c:v>
                </c:pt>
                <c:pt idx="1">
                  <c:v>950</c:v>
                </c:pt>
                <c:pt idx="2">
                  <c:v>1580</c:v>
                </c:pt>
                <c:pt idx="3">
                  <c:v>1190</c:v>
                </c:pt>
                <c:pt idx="4">
                  <c:v>1430</c:v>
                </c:pt>
                <c:pt idx="5">
                  <c:v>1560</c:v>
                </c:pt>
                <c:pt idx="6">
                  <c:v>1060</c:v>
                </c:pt>
                <c:pt idx="7">
                  <c:v>800</c:v>
                </c:pt>
                <c:pt idx="8">
                  <c:v>1895</c:v>
                </c:pt>
                <c:pt idx="9">
                  <c:v>1475</c:v>
                </c:pt>
                <c:pt idx="10">
                  <c:v>1560</c:v>
                </c:pt>
                <c:pt idx="11">
                  <c:v>1235</c:v>
                </c:pt>
                <c:pt idx="12">
                  <c:v>1065</c:v>
                </c:pt>
                <c:pt idx="13">
                  <c:v>1025</c:v>
                </c:pt>
                <c:pt idx="14">
                  <c:v>1645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0E-4C8C-9C29-D9FD21D3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068116"/>
        <c:axId val="2002758649"/>
      </c:scatterChart>
      <c:valAx>
        <c:axId val="1080068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&quot;$&quot;#,##0.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2758649"/>
        <c:crosses val="autoZero"/>
        <c:crossBetween val="midCat"/>
      </c:valAx>
      <c:valAx>
        <c:axId val="20027586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006811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Ads Budget 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Sheet3!$D$4:$D$18</c:f>
              <c:numCache>
                <c:formatCode>General</c:formatCode>
                <c:ptCount val="15"/>
                <c:pt idx="0">
                  <c:v>1500</c:v>
                </c:pt>
                <c:pt idx="1">
                  <c:v>4000</c:v>
                </c:pt>
                <c:pt idx="2">
                  <c:v>2000</c:v>
                </c:pt>
                <c:pt idx="3">
                  <c:v>3000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3465</c:v>
                </c:pt>
                <c:pt idx="8">
                  <c:v>1000</c:v>
                </c:pt>
                <c:pt idx="9">
                  <c:v>4000</c:v>
                </c:pt>
                <c:pt idx="10">
                  <c:v>2000</c:v>
                </c:pt>
                <c:pt idx="11">
                  <c:v>1000</c:v>
                </c:pt>
                <c:pt idx="12">
                  <c:v>3000</c:v>
                </c:pt>
                <c:pt idx="13">
                  <c:v>1000</c:v>
                </c:pt>
                <c:pt idx="14">
                  <c:v>2000</c:v>
                </c:pt>
              </c:numCache>
            </c:numRef>
          </c:xVal>
          <c:yVal>
            <c:numRef>
              <c:f>Sheet3!$E$4:$E$18</c:f>
              <c:numCache>
                <c:formatCode>General</c:formatCode>
                <c:ptCount val="15"/>
                <c:pt idx="0">
                  <c:v>1240</c:v>
                </c:pt>
                <c:pt idx="1">
                  <c:v>950</c:v>
                </c:pt>
                <c:pt idx="2">
                  <c:v>1580</c:v>
                </c:pt>
                <c:pt idx="3">
                  <c:v>1190</c:v>
                </c:pt>
                <c:pt idx="4">
                  <c:v>1430</c:v>
                </c:pt>
                <c:pt idx="5">
                  <c:v>1560</c:v>
                </c:pt>
                <c:pt idx="6">
                  <c:v>1060</c:v>
                </c:pt>
                <c:pt idx="7">
                  <c:v>800</c:v>
                </c:pt>
                <c:pt idx="8">
                  <c:v>1895</c:v>
                </c:pt>
                <c:pt idx="9">
                  <c:v>1475</c:v>
                </c:pt>
                <c:pt idx="10">
                  <c:v>1560</c:v>
                </c:pt>
                <c:pt idx="11">
                  <c:v>1235</c:v>
                </c:pt>
                <c:pt idx="12">
                  <c:v>1065</c:v>
                </c:pt>
                <c:pt idx="13">
                  <c:v>1025</c:v>
                </c:pt>
                <c:pt idx="14">
                  <c:v>1645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1A-43E5-B178-F20BF13E4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151814"/>
        <c:axId val="700050329"/>
      </c:scatterChart>
      <c:valAx>
        <c:axId val="1880151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Ads Budget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0050329"/>
        <c:crosses val="autoZero"/>
        <c:crossBetween val="midCat"/>
      </c:valAx>
      <c:valAx>
        <c:axId val="70005032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015181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247650</xdr:colOff>
      <xdr:row>0</xdr:row>
      <xdr:rowOff>171450</xdr:rowOff>
    </xdr:from>
    <xdr:ext cx="3486150" cy="1809750"/>
    <xdr:graphicFrame macro="">
      <xdr:nvGraphicFramePr>
        <xdr:cNvPr id="1511730667" name="Chart 1">
          <a:extLst>
            <a:ext uri="{FF2B5EF4-FFF2-40B4-BE49-F238E27FC236}">
              <a16:creationId xmlns:a16="http://schemas.microsoft.com/office/drawing/2014/main" id="{00000000-0008-0000-0300-0000EB2D1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247650</xdr:colOff>
      <xdr:row>11</xdr:row>
      <xdr:rowOff>133350</xdr:rowOff>
    </xdr:from>
    <xdr:ext cx="3486150" cy="1809750"/>
    <xdr:graphicFrame macro="">
      <xdr:nvGraphicFramePr>
        <xdr:cNvPr id="1765603761" name="Chart 2">
          <a:extLst>
            <a:ext uri="{FF2B5EF4-FFF2-40B4-BE49-F238E27FC236}">
              <a16:creationId xmlns:a16="http://schemas.microsoft.com/office/drawing/2014/main" id="{00000000-0008-0000-0300-0000B1F93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P1000"/>
  <sheetViews>
    <sheetView topLeftCell="C16" workbookViewId="0">
      <selection activeCell="P30" sqref="P30"/>
    </sheetView>
  </sheetViews>
  <sheetFormatPr defaultColWidth="14.42578125" defaultRowHeight="15" customHeight="1" x14ac:dyDescent="0.25"/>
  <cols>
    <col min="1" max="3" width="8.85546875" customWidth="1"/>
    <col min="4" max="4" width="29.42578125" customWidth="1"/>
    <col min="5" max="5" width="13.42578125" customWidth="1"/>
    <col min="6" max="26" width="8.85546875" customWidth="1"/>
  </cols>
  <sheetData>
    <row r="1" spans="4:7" ht="14.25" customHeight="1" x14ac:dyDescent="0.25">
      <c r="E1" s="1"/>
    </row>
    <row r="2" spans="4:7" ht="14.25" customHeight="1" x14ac:dyDescent="0.25">
      <c r="D2" s="2" t="s">
        <v>0</v>
      </c>
      <c r="E2" s="1"/>
    </row>
    <row r="3" spans="4:7" ht="14.25" customHeight="1" x14ac:dyDescent="0.25">
      <c r="E3" s="1"/>
    </row>
    <row r="4" spans="4:7" ht="14.25" customHeight="1" x14ac:dyDescent="0.25">
      <c r="D4" s="2" t="s">
        <v>1</v>
      </c>
      <c r="E4" s="1"/>
    </row>
    <row r="5" spans="4:7" ht="14.25" customHeight="1" x14ac:dyDescent="0.25">
      <c r="D5" s="2" t="s">
        <v>2</v>
      </c>
      <c r="E5" s="1"/>
    </row>
    <row r="6" spans="4:7" ht="14.25" customHeight="1" x14ac:dyDescent="0.25">
      <c r="D6" s="2" t="s">
        <v>3</v>
      </c>
      <c r="E6" s="1"/>
    </row>
    <row r="7" spans="4:7" ht="14.25" customHeight="1" x14ac:dyDescent="0.25">
      <c r="E7" s="1"/>
    </row>
    <row r="8" spans="4:7" ht="14.25" customHeight="1" x14ac:dyDescent="0.25">
      <c r="E8" s="1"/>
    </row>
    <row r="9" spans="4:7" ht="14.25" customHeight="1" x14ac:dyDescent="0.25">
      <c r="D9" s="3" t="s">
        <v>4</v>
      </c>
      <c r="E9" s="4">
        <v>689.65517241379314</v>
      </c>
    </row>
    <row r="10" spans="4:7" ht="14.25" customHeight="1" x14ac:dyDescent="0.25">
      <c r="D10" s="3" t="s">
        <v>5</v>
      </c>
      <c r="E10" s="5">
        <f>-2.9*E9+3000</f>
        <v>1000</v>
      </c>
      <c r="F10" s="2" t="s">
        <v>6</v>
      </c>
    </row>
    <row r="11" spans="4:7" ht="14.25" customHeight="1" x14ac:dyDescent="0.25">
      <c r="D11" s="3" t="s">
        <v>7</v>
      </c>
      <c r="E11" s="6">
        <f>10*E10+5000</f>
        <v>15000</v>
      </c>
      <c r="F11" s="2" t="s">
        <v>8</v>
      </c>
    </row>
    <row r="12" spans="4:7" ht="14.25" customHeight="1" x14ac:dyDescent="0.25">
      <c r="D12" s="3" t="s">
        <v>9</v>
      </c>
      <c r="E12" s="6">
        <f>E11/E10</f>
        <v>15</v>
      </c>
      <c r="F12" s="2" t="s">
        <v>10</v>
      </c>
    </row>
    <row r="13" spans="4:7" ht="14.25" customHeight="1" x14ac:dyDescent="0.25">
      <c r="D13" s="3" t="s">
        <v>11</v>
      </c>
      <c r="E13" s="7">
        <f>E10*(E9-E12)</f>
        <v>674655.17241379316</v>
      </c>
      <c r="F13" s="2" t="s">
        <v>12</v>
      </c>
    </row>
    <row r="14" spans="4:7" ht="14.25" customHeight="1" x14ac:dyDescent="0.25">
      <c r="E14" s="1"/>
    </row>
    <row r="15" spans="4:7" ht="14.25" customHeight="1" x14ac:dyDescent="0.25">
      <c r="D15" s="24" t="s">
        <v>57</v>
      </c>
      <c r="E15" s="1"/>
    </row>
    <row r="16" spans="4:7" ht="14.25" customHeight="1" x14ac:dyDescent="0.25">
      <c r="D16" s="24" t="s">
        <v>58</v>
      </c>
      <c r="E16" s="1"/>
      <c r="F16" s="23" t="s">
        <v>60</v>
      </c>
      <c r="G16">
        <v>689.65517241379314</v>
      </c>
    </row>
    <row r="17" spans="4:16" ht="14.25" customHeight="1" x14ac:dyDescent="0.25">
      <c r="D17" s="24" t="s">
        <v>59</v>
      </c>
      <c r="E17" s="1"/>
      <c r="F17" s="25" t="s">
        <v>52</v>
      </c>
      <c r="G17">
        <f>-2.9*G16+3000</f>
        <v>1000</v>
      </c>
    </row>
    <row r="18" spans="4:16" ht="14.25" customHeight="1" x14ac:dyDescent="0.25">
      <c r="E18" s="1"/>
      <c r="F18" s="25" t="s">
        <v>61</v>
      </c>
      <c r="G18">
        <f>5000+G19*G17</f>
        <v>15000</v>
      </c>
    </row>
    <row r="19" spans="4:16" ht="14.25" customHeight="1" x14ac:dyDescent="0.25">
      <c r="E19" s="1"/>
      <c r="F19" s="25" t="s">
        <v>62</v>
      </c>
      <c r="G19">
        <v>10</v>
      </c>
    </row>
    <row r="20" spans="4:16" ht="14.25" customHeight="1" x14ac:dyDescent="0.25">
      <c r="E20" s="1"/>
      <c r="F20" s="25" t="s">
        <v>63</v>
      </c>
      <c r="G20">
        <f>(G16-G19)*G17</f>
        <v>679655.17241379316</v>
      </c>
    </row>
    <row r="21" spans="4:16" ht="14.25" customHeight="1" x14ac:dyDescent="0.25">
      <c r="E21" s="1"/>
    </row>
    <row r="22" spans="4:16" ht="14.25" customHeight="1" x14ac:dyDescent="0.25">
      <c r="E22" s="1"/>
    </row>
    <row r="23" spans="4:16" ht="14.25" customHeight="1" x14ac:dyDescent="0.25">
      <c r="E23" s="1"/>
    </row>
    <row r="24" spans="4:16" ht="14.25" customHeight="1" x14ac:dyDescent="0.25">
      <c r="D24" s="23" t="s">
        <v>64</v>
      </c>
      <c r="E24" s="1">
        <f>5000</f>
        <v>5000</v>
      </c>
      <c r="J24" s="23" t="s">
        <v>60</v>
      </c>
      <c r="K24">
        <v>689.65517241379314</v>
      </c>
    </row>
    <row r="25" spans="4:16" ht="14.25" customHeight="1" x14ac:dyDescent="0.25">
      <c r="D25" s="23" t="s">
        <v>61</v>
      </c>
      <c r="E25" s="1" t="s">
        <v>65</v>
      </c>
      <c r="J25" s="25" t="s">
        <v>52</v>
      </c>
      <c r="K25">
        <f>-2.9*K24+3000</f>
        <v>1000</v>
      </c>
    </row>
    <row r="26" spans="4:16" ht="14.25" customHeight="1" x14ac:dyDescent="0.25">
      <c r="D26" s="23" t="s">
        <v>63</v>
      </c>
      <c r="E26" s="1" t="s">
        <v>66</v>
      </c>
      <c r="J26" s="25" t="s">
        <v>61</v>
      </c>
      <c r="K26">
        <f>5000+K27*K25</f>
        <v>15000</v>
      </c>
      <c r="O26" s="23" t="s">
        <v>60</v>
      </c>
      <c r="P26">
        <f>100</f>
        <v>100</v>
      </c>
    </row>
    <row r="27" spans="4:16" ht="14.25" customHeight="1" x14ac:dyDescent="0.25">
      <c r="E27" s="1"/>
      <c r="J27" s="25" t="s">
        <v>62</v>
      </c>
      <c r="K27">
        <v>10</v>
      </c>
      <c r="O27" s="25" t="s">
        <v>52</v>
      </c>
      <c r="P27">
        <f>-2.9*P26+3000</f>
        <v>2710</v>
      </c>
    </row>
    <row r="28" spans="4:16" ht="14.25" customHeight="1" x14ac:dyDescent="0.25">
      <c r="D28" s="23" t="s">
        <v>67</v>
      </c>
      <c r="E28" s="1"/>
      <c r="J28" s="25" t="s">
        <v>63</v>
      </c>
      <c r="K28">
        <f>(K24-K27)*K25</f>
        <v>679655.17241379316</v>
      </c>
      <c r="O28" s="25" t="s">
        <v>61</v>
      </c>
      <c r="P28">
        <f>5000+P29*P27</f>
        <v>32100</v>
      </c>
    </row>
    <row r="29" spans="4:16" ht="14.25" customHeight="1" x14ac:dyDescent="0.25">
      <c r="D29" s="23" t="s">
        <v>68</v>
      </c>
      <c r="E29" s="1"/>
      <c r="O29" s="25" t="s">
        <v>62</v>
      </c>
      <c r="P29">
        <v>10</v>
      </c>
    </row>
    <row r="30" spans="4:16" ht="14.25" customHeight="1" x14ac:dyDescent="0.25">
      <c r="D30" s="23" t="s">
        <v>69</v>
      </c>
      <c r="E30" s="1"/>
      <c r="O30" s="25" t="s">
        <v>63</v>
      </c>
      <c r="P30">
        <f>(P26-P29)*P27</f>
        <v>243900</v>
      </c>
    </row>
    <row r="31" spans="4:16" ht="14.25" customHeight="1" x14ac:dyDescent="0.25">
      <c r="E31" s="1"/>
    </row>
    <row r="32" spans="4:16" ht="14.25" customHeight="1" x14ac:dyDescent="0.25">
      <c r="E32" s="1"/>
    </row>
    <row r="33" spans="4:5" ht="14.25" customHeight="1" x14ac:dyDescent="0.25">
      <c r="E33" s="1"/>
    </row>
    <row r="34" spans="4:5" ht="14.25" customHeight="1" x14ac:dyDescent="0.25">
      <c r="E34" s="1"/>
    </row>
    <row r="35" spans="4:5" ht="14.25" customHeight="1" x14ac:dyDescent="0.25">
      <c r="E35" s="1"/>
    </row>
    <row r="36" spans="4:5" ht="14.25" customHeight="1" x14ac:dyDescent="0.25">
      <c r="D36" s="38" t="s">
        <v>63</v>
      </c>
      <c r="E36" s="1">
        <v>689.65517241379314</v>
      </c>
    </row>
    <row r="37" spans="4:5" ht="14.25" customHeight="1" x14ac:dyDescent="0.25">
      <c r="D37" s="38" t="s">
        <v>52</v>
      </c>
      <c r="E37" s="1">
        <f>-2.9*E36+3000</f>
        <v>1000</v>
      </c>
    </row>
    <row r="38" spans="4:5" ht="14.25" customHeight="1" x14ac:dyDescent="0.25">
      <c r="D38" s="38" t="s">
        <v>61</v>
      </c>
      <c r="E38" s="1">
        <f>5000+E39*E37</f>
        <v>15000</v>
      </c>
    </row>
    <row r="39" spans="4:5" ht="14.25" customHeight="1" x14ac:dyDescent="0.25">
      <c r="D39" s="38" t="s">
        <v>62</v>
      </c>
      <c r="E39" s="1">
        <f>10</f>
        <v>10</v>
      </c>
    </row>
    <row r="40" spans="4:5" ht="14.25" customHeight="1" x14ac:dyDescent="0.25">
      <c r="D40" s="38" t="s">
        <v>63</v>
      </c>
      <c r="E40" s="1">
        <f>(E36-E39)*E37</f>
        <v>679655.17241379316</v>
      </c>
    </row>
    <row r="41" spans="4:5" ht="14.25" customHeight="1" x14ac:dyDescent="0.25">
      <c r="E41" s="1"/>
    </row>
    <row r="42" spans="4:5" ht="14.25" customHeight="1" x14ac:dyDescent="0.25">
      <c r="E42" s="1"/>
    </row>
    <row r="43" spans="4:5" ht="14.25" customHeight="1" x14ac:dyDescent="0.25">
      <c r="E43" s="1"/>
    </row>
    <row r="44" spans="4:5" ht="14.25" customHeight="1" x14ac:dyDescent="0.25">
      <c r="E44" s="1"/>
    </row>
    <row r="45" spans="4:5" ht="14.25" customHeight="1" x14ac:dyDescent="0.25">
      <c r="E45" s="1"/>
    </row>
    <row r="46" spans="4:5" ht="14.25" customHeight="1" x14ac:dyDescent="0.25">
      <c r="E46" s="1"/>
    </row>
    <row r="47" spans="4:5" ht="14.25" customHeight="1" x14ac:dyDescent="0.25">
      <c r="E47" s="1"/>
    </row>
    <row r="48" spans="4:5" ht="14.25" customHeight="1" x14ac:dyDescent="0.25">
      <c r="E48" s="1"/>
    </row>
    <row r="49" spans="5:5" ht="14.25" customHeight="1" x14ac:dyDescent="0.25">
      <c r="E49" s="1"/>
    </row>
    <row r="50" spans="5:5" ht="14.25" customHeight="1" x14ac:dyDescent="0.25">
      <c r="E50" s="1"/>
    </row>
    <row r="51" spans="5:5" ht="14.25" customHeight="1" x14ac:dyDescent="0.25">
      <c r="E51" s="1"/>
    </row>
    <row r="52" spans="5:5" ht="14.25" customHeight="1" x14ac:dyDescent="0.25">
      <c r="E52" s="1"/>
    </row>
    <row r="53" spans="5:5" ht="14.25" customHeight="1" x14ac:dyDescent="0.25">
      <c r="E53" s="1"/>
    </row>
    <row r="54" spans="5:5" ht="14.25" customHeight="1" x14ac:dyDescent="0.25">
      <c r="E54" s="1"/>
    </row>
    <row r="55" spans="5:5" ht="14.25" customHeight="1" x14ac:dyDescent="0.25">
      <c r="E55" s="1"/>
    </row>
    <row r="56" spans="5:5" ht="14.25" customHeight="1" x14ac:dyDescent="0.25">
      <c r="E56" s="1"/>
    </row>
    <row r="57" spans="5:5" ht="14.25" customHeight="1" x14ac:dyDescent="0.25">
      <c r="E57" s="1"/>
    </row>
    <row r="58" spans="5:5" ht="14.25" customHeight="1" x14ac:dyDescent="0.25">
      <c r="E58" s="1"/>
    </row>
    <row r="59" spans="5:5" ht="14.25" customHeight="1" x14ac:dyDescent="0.25">
      <c r="E59" s="1"/>
    </row>
    <row r="60" spans="5:5" ht="14.25" customHeight="1" x14ac:dyDescent="0.25">
      <c r="E60" s="1"/>
    </row>
    <row r="61" spans="5:5" ht="14.25" customHeight="1" x14ac:dyDescent="0.25">
      <c r="E61" s="1"/>
    </row>
    <row r="62" spans="5:5" ht="14.25" customHeight="1" x14ac:dyDescent="0.25">
      <c r="E62" s="1"/>
    </row>
    <row r="63" spans="5:5" ht="14.25" customHeight="1" x14ac:dyDescent="0.25">
      <c r="E63" s="1"/>
    </row>
    <row r="64" spans="5:5" ht="14.25" customHeight="1" x14ac:dyDescent="0.25">
      <c r="E64" s="1"/>
    </row>
    <row r="65" spans="5:5" ht="14.25" customHeight="1" x14ac:dyDescent="0.25">
      <c r="E65" s="1"/>
    </row>
    <row r="66" spans="5:5" ht="14.25" customHeight="1" x14ac:dyDescent="0.25">
      <c r="E66" s="1"/>
    </row>
    <row r="67" spans="5:5" ht="14.25" customHeight="1" x14ac:dyDescent="0.25">
      <c r="E67" s="1"/>
    </row>
    <row r="68" spans="5:5" ht="14.25" customHeight="1" x14ac:dyDescent="0.25">
      <c r="E68" s="1"/>
    </row>
    <row r="69" spans="5:5" ht="14.25" customHeight="1" x14ac:dyDescent="0.25">
      <c r="E69" s="1"/>
    </row>
    <row r="70" spans="5:5" ht="14.25" customHeight="1" x14ac:dyDescent="0.25">
      <c r="E70" s="1"/>
    </row>
    <row r="71" spans="5:5" ht="14.25" customHeight="1" x14ac:dyDescent="0.25">
      <c r="E71" s="1"/>
    </row>
    <row r="72" spans="5:5" ht="14.25" customHeight="1" x14ac:dyDescent="0.25">
      <c r="E72" s="1"/>
    </row>
    <row r="73" spans="5:5" ht="14.25" customHeight="1" x14ac:dyDescent="0.25">
      <c r="E73" s="1"/>
    </row>
    <row r="74" spans="5:5" ht="14.25" customHeight="1" x14ac:dyDescent="0.25">
      <c r="E74" s="1"/>
    </row>
    <row r="75" spans="5:5" ht="14.25" customHeight="1" x14ac:dyDescent="0.25">
      <c r="E75" s="1"/>
    </row>
    <row r="76" spans="5:5" ht="14.25" customHeight="1" x14ac:dyDescent="0.25">
      <c r="E76" s="1"/>
    </row>
    <row r="77" spans="5:5" ht="14.25" customHeight="1" x14ac:dyDescent="0.25">
      <c r="E77" s="1"/>
    </row>
    <row r="78" spans="5:5" ht="14.25" customHeight="1" x14ac:dyDescent="0.25">
      <c r="E78" s="1"/>
    </row>
    <row r="79" spans="5:5" ht="14.25" customHeight="1" x14ac:dyDescent="0.25">
      <c r="E79" s="1"/>
    </row>
    <row r="80" spans="5:5" ht="14.25" customHeight="1" x14ac:dyDescent="0.25">
      <c r="E80" s="1"/>
    </row>
    <row r="81" spans="5:5" ht="14.25" customHeight="1" x14ac:dyDescent="0.25">
      <c r="E81" s="1"/>
    </row>
    <row r="82" spans="5:5" ht="14.25" customHeight="1" x14ac:dyDescent="0.25">
      <c r="E82" s="1"/>
    </row>
    <row r="83" spans="5:5" ht="14.25" customHeight="1" x14ac:dyDescent="0.25">
      <c r="E83" s="1"/>
    </row>
    <row r="84" spans="5:5" ht="14.25" customHeight="1" x14ac:dyDescent="0.25">
      <c r="E84" s="1"/>
    </row>
    <row r="85" spans="5:5" ht="14.25" customHeight="1" x14ac:dyDescent="0.25">
      <c r="E85" s="1"/>
    </row>
    <row r="86" spans="5:5" ht="14.25" customHeight="1" x14ac:dyDescent="0.25">
      <c r="E86" s="1"/>
    </row>
    <row r="87" spans="5:5" ht="14.25" customHeight="1" x14ac:dyDescent="0.25">
      <c r="E87" s="1"/>
    </row>
    <row r="88" spans="5:5" ht="14.25" customHeight="1" x14ac:dyDescent="0.25">
      <c r="E88" s="1"/>
    </row>
    <row r="89" spans="5:5" ht="14.25" customHeight="1" x14ac:dyDescent="0.25">
      <c r="E89" s="1"/>
    </row>
    <row r="90" spans="5:5" ht="14.25" customHeight="1" x14ac:dyDescent="0.25">
      <c r="E90" s="1"/>
    </row>
    <row r="91" spans="5:5" ht="14.25" customHeight="1" x14ac:dyDescent="0.25">
      <c r="E91" s="1"/>
    </row>
    <row r="92" spans="5:5" ht="14.25" customHeight="1" x14ac:dyDescent="0.25">
      <c r="E92" s="1"/>
    </row>
    <row r="93" spans="5:5" ht="14.25" customHeight="1" x14ac:dyDescent="0.25">
      <c r="E93" s="1"/>
    </row>
    <row r="94" spans="5:5" ht="14.25" customHeight="1" x14ac:dyDescent="0.25">
      <c r="E94" s="1"/>
    </row>
    <row r="95" spans="5:5" ht="14.25" customHeight="1" x14ac:dyDescent="0.25">
      <c r="E95" s="1"/>
    </row>
    <row r="96" spans="5:5" ht="14.25" customHeight="1" x14ac:dyDescent="0.25">
      <c r="E96" s="1"/>
    </row>
    <row r="97" spans="5:5" ht="14.25" customHeight="1" x14ac:dyDescent="0.25">
      <c r="E97" s="1"/>
    </row>
    <row r="98" spans="5:5" ht="14.25" customHeight="1" x14ac:dyDescent="0.25">
      <c r="E98" s="1"/>
    </row>
    <row r="99" spans="5:5" ht="14.25" customHeight="1" x14ac:dyDescent="0.25">
      <c r="E99" s="1"/>
    </row>
    <row r="100" spans="5:5" ht="14.25" customHeight="1" x14ac:dyDescent="0.25">
      <c r="E100" s="1"/>
    </row>
    <row r="101" spans="5:5" ht="14.25" customHeight="1" x14ac:dyDescent="0.25">
      <c r="E101" s="1"/>
    </row>
    <row r="102" spans="5:5" ht="14.25" customHeight="1" x14ac:dyDescent="0.25">
      <c r="E102" s="1"/>
    </row>
    <row r="103" spans="5:5" ht="14.25" customHeight="1" x14ac:dyDescent="0.25">
      <c r="E103" s="1"/>
    </row>
    <row r="104" spans="5:5" ht="14.25" customHeight="1" x14ac:dyDescent="0.25">
      <c r="E104" s="1"/>
    </row>
    <row r="105" spans="5:5" ht="14.25" customHeight="1" x14ac:dyDescent="0.25">
      <c r="E105" s="1"/>
    </row>
    <row r="106" spans="5:5" ht="14.25" customHeight="1" x14ac:dyDescent="0.25">
      <c r="E106" s="1"/>
    </row>
    <row r="107" spans="5:5" ht="14.25" customHeight="1" x14ac:dyDescent="0.25">
      <c r="E107" s="1"/>
    </row>
    <row r="108" spans="5:5" ht="14.25" customHeight="1" x14ac:dyDescent="0.25">
      <c r="E108" s="1"/>
    </row>
    <row r="109" spans="5:5" ht="14.25" customHeight="1" x14ac:dyDescent="0.25">
      <c r="E109" s="1"/>
    </row>
    <row r="110" spans="5:5" ht="14.25" customHeight="1" x14ac:dyDescent="0.25">
      <c r="E110" s="1"/>
    </row>
    <row r="111" spans="5:5" ht="14.25" customHeight="1" x14ac:dyDescent="0.25">
      <c r="E111" s="1"/>
    </row>
    <row r="112" spans="5:5" ht="14.25" customHeight="1" x14ac:dyDescent="0.25">
      <c r="E112" s="1"/>
    </row>
    <row r="113" spans="5:5" ht="14.25" customHeight="1" x14ac:dyDescent="0.25">
      <c r="E113" s="1"/>
    </row>
    <row r="114" spans="5:5" ht="14.25" customHeight="1" x14ac:dyDescent="0.25">
      <c r="E114" s="1"/>
    </row>
    <row r="115" spans="5:5" ht="14.25" customHeight="1" x14ac:dyDescent="0.25">
      <c r="E115" s="1"/>
    </row>
    <row r="116" spans="5:5" ht="14.25" customHeight="1" x14ac:dyDescent="0.25">
      <c r="E116" s="1"/>
    </row>
    <row r="117" spans="5:5" ht="14.25" customHeight="1" x14ac:dyDescent="0.25">
      <c r="E117" s="1"/>
    </row>
    <row r="118" spans="5:5" ht="14.25" customHeight="1" x14ac:dyDescent="0.25">
      <c r="E118" s="1"/>
    </row>
    <row r="119" spans="5:5" ht="14.25" customHeight="1" x14ac:dyDescent="0.25">
      <c r="E119" s="1"/>
    </row>
    <row r="120" spans="5:5" ht="14.25" customHeight="1" x14ac:dyDescent="0.25">
      <c r="E120" s="1"/>
    </row>
    <row r="121" spans="5:5" ht="14.25" customHeight="1" x14ac:dyDescent="0.25">
      <c r="E121" s="1"/>
    </row>
    <row r="122" spans="5:5" ht="14.25" customHeight="1" x14ac:dyDescent="0.25">
      <c r="E122" s="1"/>
    </row>
    <row r="123" spans="5:5" ht="14.25" customHeight="1" x14ac:dyDescent="0.25">
      <c r="E123" s="1"/>
    </row>
    <row r="124" spans="5:5" ht="14.25" customHeight="1" x14ac:dyDescent="0.25">
      <c r="E124" s="1"/>
    </row>
    <row r="125" spans="5:5" ht="14.25" customHeight="1" x14ac:dyDescent="0.25">
      <c r="E125" s="1"/>
    </row>
    <row r="126" spans="5:5" ht="14.25" customHeight="1" x14ac:dyDescent="0.25">
      <c r="E126" s="1"/>
    </row>
    <row r="127" spans="5:5" ht="14.25" customHeight="1" x14ac:dyDescent="0.25">
      <c r="E127" s="1"/>
    </row>
    <row r="128" spans="5:5" ht="14.25" customHeight="1" x14ac:dyDescent="0.25">
      <c r="E128" s="1"/>
    </row>
    <row r="129" spans="5:5" ht="14.25" customHeight="1" x14ac:dyDescent="0.25">
      <c r="E129" s="1"/>
    </row>
    <row r="130" spans="5:5" ht="14.25" customHeight="1" x14ac:dyDescent="0.25">
      <c r="E130" s="1"/>
    </row>
    <row r="131" spans="5:5" ht="14.25" customHeight="1" x14ac:dyDescent="0.25">
      <c r="E131" s="1"/>
    </row>
    <row r="132" spans="5:5" ht="14.25" customHeight="1" x14ac:dyDescent="0.25">
      <c r="E132" s="1"/>
    </row>
    <row r="133" spans="5:5" ht="14.25" customHeight="1" x14ac:dyDescent="0.25">
      <c r="E133" s="1"/>
    </row>
    <row r="134" spans="5:5" ht="14.25" customHeight="1" x14ac:dyDescent="0.25">
      <c r="E134" s="1"/>
    </row>
    <row r="135" spans="5:5" ht="14.25" customHeight="1" x14ac:dyDescent="0.25">
      <c r="E135" s="1"/>
    </row>
    <row r="136" spans="5:5" ht="14.25" customHeight="1" x14ac:dyDescent="0.25">
      <c r="E136" s="1"/>
    </row>
    <row r="137" spans="5:5" ht="14.25" customHeight="1" x14ac:dyDescent="0.25">
      <c r="E137" s="1"/>
    </row>
    <row r="138" spans="5:5" ht="14.25" customHeight="1" x14ac:dyDescent="0.25">
      <c r="E138" s="1"/>
    </row>
    <row r="139" spans="5:5" ht="14.25" customHeight="1" x14ac:dyDescent="0.25">
      <c r="E139" s="1"/>
    </row>
    <row r="140" spans="5:5" ht="14.25" customHeight="1" x14ac:dyDescent="0.25">
      <c r="E140" s="1"/>
    </row>
    <row r="141" spans="5:5" ht="14.25" customHeight="1" x14ac:dyDescent="0.25">
      <c r="E141" s="1"/>
    </row>
    <row r="142" spans="5:5" ht="14.25" customHeight="1" x14ac:dyDescent="0.25">
      <c r="E142" s="1"/>
    </row>
    <row r="143" spans="5:5" ht="14.25" customHeight="1" x14ac:dyDescent="0.25">
      <c r="E143" s="1"/>
    </row>
    <row r="144" spans="5:5" ht="14.25" customHeight="1" x14ac:dyDescent="0.25">
      <c r="E144" s="1"/>
    </row>
    <row r="145" spans="5:5" ht="14.25" customHeight="1" x14ac:dyDescent="0.25">
      <c r="E145" s="1"/>
    </row>
    <row r="146" spans="5:5" ht="14.25" customHeight="1" x14ac:dyDescent="0.25">
      <c r="E146" s="1"/>
    </row>
    <row r="147" spans="5:5" ht="14.25" customHeight="1" x14ac:dyDescent="0.25">
      <c r="E147" s="1"/>
    </row>
    <row r="148" spans="5:5" ht="14.25" customHeight="1" x14ac:dyDescent="0.25">
      <c r="E148" s="1"/>
    </row>
    <row r="149" spans="5:5" ht="14.25" customHeight="1" x14ac:dyDescent="0.25">
      <c r="E149" s="1"/>
    </row>
    <row r="150" spans="5:5" ht="14.25" customHeight="1" x14ac:dyDescent="0.25">
      <c r="E150" s="1"/>
    </row>
    <row r="151" spans="5:5" ht="14.25" customHeight="1" x14ac:dyDescent="0.25">
      <c r="E151" s="1"/>
    </row>
    <row r="152" spans="5:5" ht="14.25" customHeight="1" x14ac:dyDescent="0.25">
      <c r="E152" s="1"/>
    </row>
    <row r="153" spans="5:5" ht="14.25" customHeight="1" x14ac:dyDescent="0.25">
      <c r="E153" s="1"/>
    </row>
    <row r="154" spans="5:5" ht="14.25" customHeight="1" x14ac:dyDescent="0.25">
      <c r="E154" s="1"/>
    </row>
    <row r="155" spans="5:5" ht="14.25" customHeight="1" x14ac:dyDescent="0.25">
      <c r="E155" s="1"/>
    </row>
    <row r="156" spans="5:5" ht="14.25" customHeight="1" x14ac:dyDescent="0.25">
      <c r="E156" s="1"/>
    </row>
    <row r="157" spans="5:5" ht="14.25" customHeight="1" x14ac:dyDescent="0.25">
      <c r="E157" s="1"/>
    </row>
    <row r="158" spans="5:5" ht="14.25" customHeight="1" x14ac:dyDescent="0.25">
      <c r="E158" s="1"/>
    </row>
    <row r="159" spans="5:5" ht="14.25" customHeight="1" x14ac:dyDescent="0.25">
      <c r="E159" s="1"/>
    </row>
    <row r="160" spans="5:5" ht="14.25" customHeight="1" x14ac:dyDescent="0.25">
      <c r="E160" s="1"/>
    </row>
    <row r="161" spans="5:5" ht="14.25" customHeight="1" x14ac:dyDescent="0.25">
      <c r="E161" s="1"/>
    </row>
    <row r="162" spans="5:5" ht="14.25" customHeight="1" x14ac:dyDescent="0.25">
      <c r="E162" s="1"/>
    </row>
    <row r="163" spans="5:5" ht="14.25" customHeight="1" x14ac:dyDescent="0.25">
      <c r="E163" s="1"/>
    </row>
    <row r="164" spans="5:5" ht="14.25" customHeight="1" x14ac:dyDescent="0.25">
      <c r="E164" s="1"/>
    </row>
    <row r="165" spans="5:5" ht="14.25" customHeight="1" x14ac:dyDescent="0.25">
      <c r="E165" s="1"/>
    </row>
    <row r="166" spans="5:5" ht="14.25" customHeight="1" x14ac:dyDescent="0.25">
      <c r="E166" s="1"/>
    </row>
    <row r="167" spans="5:5" ht="14.25" customHeight="1" x14ac:dyDescent="0.25">
      <c r="E167" s="1"/>
    </row>
    <row r="168" spans="5:5" ht="14.25" customHeight="1" x14ac:dyDescent="0.25">
      <c r="E168" s="1"/>
    </row>
    <row r="169" spans="5:5" ht="14.25" customHeight="1" x14ac:dyDescent="0.25">
      <c r="E169" s="1"/>
    </row>
    <row r="170" spans="5:5" ht="14.25" customHeight="1" x14ac:dyDescent="0.25">
      <c r="E170" s="1"/>
    </row>
    <row r="171" spans="5:5" ht="14.25" customHeight="1" x14ac:dyDescent="0.25">
      <c r="E171" s="1"/>
    </row>
    <row r="172" spans="5:5" ht="14.25" customHeight="1" x14ac:dyDescent="0.25">
      <c r="E172" s="1"/>
    </row>
    <row r="173" spans="5:5" ht="14.25" customHeight="1" x14ac:dyDescent="0.25">
      <c r="E173" s="1"/>
    </row>
    <row r="174" spans="5:5" ht="14.25" customHeight="1" x14ac:dyDescent="0.25">
      <c r="E174" s="1"/>
    </row>
    <row r="175" spans="5:5" ht="14.25" customHeight="1" x14ac:dyDescent="0.25">
      <c r="E175" s="1"/>
    </row>
    <row r="176" spans="5:5" ht="14.25" customHeight="1" x14ac:dyDescent="0.25">
      <c r="E176" s="1"/>
    </row>
    <row r="177" spans="5:5" ht="14.25" customHeight="1" x14ac:dyDescent="0.25">
      <c r="E177" s="1"/>
    </row>
    <row r="178" spans="5:5" ht="14.25" customHeight="1" x14ac:dyDescent="0.25">
      <c r="E178" s="1"/>
    </row>
    <row r="179" spans="5:5" ht="14.25" customHeight="1" x14ac:dyDescent="0.25">
      <c r="E179" s="1"/>
    </row>
    <row r="180" spans="5:5" ht="14.25" customHeight="1" x14ac:dyDescent="0.25">
      <c r="E180" s="1"/>
    </row>
    <row r="181" spans="5:5" ht="14.25" customHeight="1" x14ac:dyDescent="0.25">
      <c r="E181" s="1"/>
    </row>
    <row r="182" spans="5:5" ht="14.25" customHeight="1" x14ac:dyDescent="0.25">
      <c r="E182" s="1"/>
    </row>
    <row r="183" spans="5:5" ht="14.25" customHeight="1" x14ac:dyDescent="0.25">
      <c r="E183" s="1"/>
    </row>
    <row r="184" spans="5:5" ht="14.25" customHeight="1" x14ac:dyDescent="0.25">
      <c r="E184" s="1"/>
    </row>
    <row r="185" spans="5:5" ht="14.25" customHeight="1" x14ac:dyDescent="0.25">
      <c r="E185" s="1"/>
    </row>
    <row r="186" spans="5:5" ht="14.25" customHeight="1" x14ac:dyDescent="0.25">
      <c r="E186" s="1"/>
    </row>
    <row r="187" spans="5:5" ht="14.25" customHeight="1" x14ac:dyDescent="0.25">
      <c r="E187" s="1"/>
    </row>
    <row r="188" spans="5:5" ht="14.25" customHeight="1" x14ac:dyDescent="0.25">
      <c r="E188" s="1"/>
    </row>
    <row r="189" spans="5:5" ht="14.25" customHeight="1" x14ac:dyDescent="0.25">
      <c r="E189" s="1"/>
    </row>
    <row r="190" spans="5:5" ht="14.25" customHeight="1" x14ac:dyDescent="0.25">
      <c r="E190" s="1"/>
    </row>
    <row r="191" spans="5:5" ht="14.25" customHeight="1" x14ac:dyDescent="0.25">
      <c r="E191" s="1"/>
    </row>
    <row r="192" spans="5:5" ht="14.25" customHeight="1" x14ac:dyDescent="0.25">
      <c r="E192" s="1"/>
    </row>
    <row r="193" spans="5:5" ht="14.25" customHeight="1" x14ac:dyDescent="0.25">
      <c r="E193" s="1"/>
    </row>
    <row r="194" spans="5:5" ht="14.25" customHeight="1" x14ac:dyDescent="0.25">
      <c r="E194" s="1"/>
    </row>
    <row r="195" spans="5:5" ht="14.25" customHeight="1" x14ac:dyDescent="0.25">
      <c r="E195" s="1"/>
    </row>
    <row r="196" spans="5:5" ht="14.25" customHeight="1" x14ac:dyDescent="0.25">
      <c r="E196" s="1"/>
    </row>
    <row r="197" spans="5:5" ht="14.25" customHeight="1" x14ac:dyDescent="0.25">
      <c r="E197" s="1"/>
    </row>
    <row r="198" spans="5:5" ht="14.25" customHeight="1" x14ac:dyDescent="0.25">
      <c r="E198" s="1"/>
    </row>
    <row r="199" spans="5:5" ht="14.25" customHeight="1" x14ac:dyDescent="0.25">
      <c r="E199" s="1"/>
    </row>
    <row r="200" spans="5:5" ht="14.25" customHeight="1" x14ac:dyDescent="0.25">
      <c r="E200" s="1"/>
    </row>
    <row r="201" spans="5:5" ht="14.25" customHeight="1" x14ac:dyDescent="0.25">
      <c r="E201" s="1"/>
    </row>
    <row r="202" spans="5:5" ht="14.25" customHeight="1" x14ac:dyDescent="0.25">
      <c r="E202" s="1"/>
    </row>
    <row r="203" spans="5:5" ht="14.25" customHeight="1" x14ac:dyDescent="0.25">
      <c r="E203" s="1"/>
    </row>
    <row r="204" spans="5:5" ht="14.25" customHeight="1" x14ac:dyDescent="0.25">
      <c r="E204" s="1"/>
    </row>
    <row r="205" spans="5:5" ht="14.25" customHeight="1" x14ac:dyDescent="0.25">
      <c r="E205" s="1"/>
    </row>
    <row r="206" spans="5:5" ht="14.25" customHeight="1" x14ac:dyDescent="0.25">
      <c r="E206" s="1"/>
    </row>
    <row r="207" spans="5:5" ht="14.25" customHeight="1" x14ac:dyDescent="0.25">
      <c r="E207" s="1"/>
    </row>
    <row r="208" spans="5:5" ht="14.25" customHeight="1" x14ac:dyDescent="0.25">
      <c r="E208" s="1"/>
    </row>
    <row r="209" spans="5:5" ht="14.25" customHeight="1" x14ac:dyDescent="0.25">
      <c r="E209" s="1"/>
    </row>
    <row r="210" spans="5:5" ht="14.25" customHeight="1" x14ac:dyDescent="0.25">
      <c r="E210" s="1"/>
    </row>
    <row r="211" spans="5:5" ht="14.25" customHeight="1" x14ac:dyDescent="0.25">
      <c r="E211" s="1"/>
    </row>
    <row r="212" spans="5:5" ht="14.25" customHeight="1" x14ac:dyDescent="0.25">
      <c r="E212" s="1"/>
    </row>
    <row r="213" spans="5:5" ht="14.25" customHeight="1" x14ac:dyDescent="0.25">
      <c r="E213" s="1"/>
    </row>
    <row r="214" spans="5:5" ht="14.25" customHeight="1" x14ac:dyDescent="0.25">
      <c r="E214" s="1"/>
    </row>
    <row r="215" spans="5:5" ht="14.25" customHeight="1" x14ac:dyDescent="0.25">
      <c r="E215" s="1"/>
    </row>
    <row r="216" spans="5:5" ht="14.25" customHeight="1" x14ac:dyDescent="0.25">
      <c r="E216" s="1"/>
    </row>
    <row r="217" spans="5:5" ht="14.25" customHeight="1" x14ac:dyDescent="0.25">
      <c r="E217" s="1"/>
    </row>
    <row r="218" spans="5:5" ht="14.25" customHeight="1" x14ac:dyDescent="0.25">
      <c r="E218" s="1"/>
    </row>
    <row r="219" spans="5:5" ht="14.25" customHeight="1" x14ac:dyDescent="0.25">
      <c r="E219" s="1"/>
    </row>
    <row r="220" spans="5:5" ht="14.25" customHeight="1" x14ac:dyDescent="0.25">
      <c r="E220" s="1"/>
    </row>
    <row r="221" spans="5:5" ht="14.25" customHeight="1" x14ac:dyDescent="0.25">
      <c r="E221" s="1"/>
    </row>
    <row r="222" spans="5:5" ht="14.25" customHeight="1" x14ac:dyDescent="0.25">
      <c r="E222" s="1"/>
    </row>
    <row r="223" spans="5:5" ht="14.25" customHeight="1" x14ac:dyDescent="0.25">
      <c r="E223" s="1"/>
    </row>
    <row r="224" spans="5:5" ht="14.25" customHeight="1" x14ac:dyDescent="0.25">
      <c r="E224" s="1"/>
    </row>
    <row r="225" spans="5:5" ht="14.25" customHeight="1" x14ac:dyDescent="0.25">
      <c r="E225" s="1"/>
    </row>
    <row r="226" spans="5:5" ht="14.25" customHeight="1" x14ac:dyDescent="0.25">
      <c r="E226" s="1"/>
    </row>
    <row r="227" spans="5:5" ht="14.25" customHeight="1" x14ac:dyDescent="0.25">
      <c r="E227" s="1"/>
    </row>
    <row r="228" spans="5:5" ht="14.25" customHeight="1" x14ac:dyDescent="0.25">
      <c r="E228" s="1"/>
    </row>
    <row r="229" spans="5:5" ht="14.25" customHeight="1" x14ac:dyDescent="0.25">
      <c r="E229" s="1"/>
    </row>
    <row r="230" spans="5:5" ht="14.25" customHeight="1" x14ac:dyDescent="0.25">
      <c r="E230" s="1"/>
    </row>
    <row r="231" spans="5:5" ht="14.25" customHeight="1" x14ac:dyDescent="0.25">
      <c r="E231" s="1"/>
    </row>
    <row r="232" spans="5:5" ht="14.25" customHeight="1" x14ac:dyDescent="0.25">
      <c r="E232" s="1"/>
    </row>
    <row r="233" spans="5:5" ht="14.25" customHeight="1" x14ac:dyDescent="0.25">
      <c r="E233" s="1"/>
    </row>
    <row r="234" spans="5:5" ht="14.25" customHeight="1" x14ac:dyDescent="0.25">
      <c r="E234" s="1"/>
    </row>
    <row r="235" spans="5:5" ht="14.25" customHeight="1" x14ac:dyDescent="0.25">
      <c r="E235" s="1"/>
    </row>
    <row r="236" spans="5:5" ht="14.25" customHeight="1" x14ac:dyDescent="0.25">
      <c r="E236" s="1"/>
    </row>
    <row r="237" spans="5:5" ht="14.25" customHeight="1" x14ac:dyDescent="0.25">
      <c r="E237" s="1"/>
    </row>
    <row r="238" spans="5:5" ht="14.25" customHeight="1" x14ac:dyDescent="0.25">
      <c r="E238" s="1"/>
    </row>
    <row r="239" spans="5:5" ht="14.25" customHeight="1" x14ac:dyDescent="0.25">
      <c r="E239" s="1"/>
    </row>
    <row r="240" spans="5:5" ht="14.25" customHeight="1" x14ac:dyDescent="0.25">
      <c r="E240" s="1"/>
    </row>
    <row r="241" spans="5:5" ht="14.25" customHeight="1" x14ac:dyDescent="0.25">
      <c r="E241" s="1"/>
    </row>
    <row r="242" spans="5:5" ht="14.25" customHeight="1" x14ac:dyDescent="0.25">
      <c r="E242" s="1"/>
    </row>
    <row r="243" spans="5:5" ht="14.25" customHeight="1" x14ac:dyDescent="0.25">
      <c r="E243" s="1"/>
    </row>
    <row r="244" spans="5:5" ht="14.25" customHeight="1" x14ac:dyDescent="0.25">
      <c r="E244" s="1"/>
    </row>
    <row r="245" spans="5:5" ht="14.25" customHeight="1" x14ac:dyDescent="0.25">
      <c r="E245" s="1"/>
    </row>
    <row r="246" spans="5:5" ht="14.25" customHeight="1" x14ac:dyDescent="0.25">
      <c r="E246" s="1"/>
    </row>
    <row r="247" spans="5:5" ht="14.25" customHeight="1" x14ac:dyDescent="0.25">
      <c r="E247" s="1"/>
    </row>
    <row r="248" spans="5:5" ht="14.25" customHeight="1" x14ac:dyDescent="0.25">
      <c r="E248" s="1"/>
    </row>
    <row r="249" spans="5:5" ht="14.25" customHeight="1" x14ac:dyDescent="0.25">
      <c r="E249" s="1"/>
    </row>
    <row r="250" spans="5:5" ht="14.25" customHeight="1" x14ac:dyDescent="0.25">
      <c r="E250" s="1"/>
    </row>
    <row r="251" spans="5:5" ht="14.25" customHeight="1" x14ac:dyDescent="0.25">
      <c r="E251" s="1"/>
    </row>
    <row r="252" spans="5:5" ht="14.25" customHeight="1" x14ac:dyDescent="0.25">
      <c r="E252" s="1"/>
    </row>
    <row r="253" spans="5:5" ht="14.25" customHeight="1" x14ac:dyDescent="0.25">
      <c r="E253" s="1"/>
    </row>
    <row r="254" spans="5:5" ht="14.25" customHeight="1" x14ac:dyDescent="0.25">
      <c r="E254" s="1"/>
    </row>
    <row r="255" spans="5:5" ht="14.25" customHeight="1" x14ac:dyDescent="0.25">
      <c r="E255" s="1"/>
    </row>
    <row r="256" spans="5:5" ht="14.25" customHeight="1" x14ac:dyDescent="0.25">
      <c r="E256" s="1"/>
    </row>
    <row r="257" spans="5:5" ht="14.25" customHeight="1" x14ac:dyDescent="0.25">
      <c r="E257" s="1"/>
    </row>
    <row r="258" spans="5:5" ht="14.25" customHeight="1" x14ac:dyDescent="0.25">
      <c r="E258" s="1"/>
    </row>
    <row r="259" spans="5:5" ht="14.25" customHeight="1" x14ac:dyDescent="0.25">
      <c r="E259" s="1"/>
    </row>
    <row r="260" spans="5:5" ht="14.25" customHeight="1" x14ac:dyDescent="0.25">
      <c r="E260" s="1"/>
    </row>
    <row r="261" spans="5:5" ht="14.25" customHeight="1" x14ac:dyDescent="0.25">
      <c r="E261" s="1"/>
    </row>
    <row r="262" spans="5:5" ht="14.25" customHeight="1" x14ac:dyDescent="0.25">
      <c r="E262" s="1"/>
    </row>
    <row r="263" spans="5:5" ht="14.25" customHeight="1" x14ac:dyDescent="0.25">
      <c r="E263" s="1"/>
    </row>
    <row r="264" spans="5:5" ht="14.25" customHeight="1" x14ac:dyDescent="0.25">
      <c r="E264" s="1"/>
    </row>
    <row r="265" spans="5:5" ht="14.25" customHeight="1" x14ac:dyDescent="0.25">
      <c r="E265" s="1"/>
    </row>
    <row r="266" spans="5:5" ht="14.25" customHeight="1" x14ac:dyDescent="0.25">
      <c r="E266" s="1"/>
    </row>
    <row r="267" spans="5:5" ht="14.25" customHeight="1" x14ac:dyDescent="0.25">
      <c r="E267" s="1"/>
    </row>
    <row r="268" spans="5:5" ht="14.25" customHeight="1" x14ac:dyDescent="0.25">
      <c r="E268" s="1"/>
    </row>
    <row r="269" spans="5:5" ht="14.25" customHeight="1" x14ac:dyDescent="0.25">
      <c r="E269" s="1"/>
    </row>
    <row r="270" spans="5:5" ht="14.25" customHeight="1" x14ac:dyDescent="0.25">
      <c r="E270" s="1"/>
    </row>
    <row r="271" spans="5:5" ht="14.25" customHeight="1" x14ac:dyDescent="0.25">
      <c r="E271" s="1"/>
    </row>
    <row r="272" spans="5:5" ht="14.25" customHeight="1" x14ac:dyDescent="0.25">
      <c r="E272" s="1"/>
    </row>
    <row r="273" spans="5:5" ht="14.25" customHeight="1" x14ac:dyDescent="0.25">
      <c r="E273" s="1"/>
    </row>
    <row r="274" spans="5:5" ht="14.25" customHeight="1" x14ac:dyDescent="0.25">
      <c r="E274" s="1"/>
    </row>
    <row r="275" spans="5:5" ht="14.25" customHeight="1" x14ac:dyDescent="0.25">
      <c r="E275" s="1"/>
    </row>
    <row r="276" spans="5:5" ht="14.25" customHeight="1" x14ac:dyDescent="0.25">
      <c r="E276" s="1"/>
    </row>
    <row r="277" spans="5:5" ht="14.25" customHeight="1" x14ac:dyDescent="0.25">
      <c r="E277" s="1"/>
    </row>
    <row r="278" spans="5:5" ht="14.25" customHeight="1" x14ac:dyDescent="0.25">
      <c r="E278" s="1"/>
    </row>
    <row r="279" spans="5:5" ht="14.25" customHeight="1" x14ac:dyDescent="0.25">
      <c r="E279" s="1"/>
    </row>
    <row r="280" spans="5:5" ht="14.25" customHeight="1" x14ac:dyDescent="0.25">
      <c r="E280" s="1"/>
    </row>
    <row r="281" spans="5:5" ht="14.25" customHeight="1" x14ac:dyDescent="0.25">
      <c r="E281" s="1"/>
    </row>
    <row r="282" spans="5:5" ht="14.25" customHeight="1" x14ac:dyDescent="0.25">
      <c r="E282" s="1"/>
    </row>
    <row r="283" spans="5:5" ht="14.25" customHeight="1" x14ac:dyDescent="0.25">
      <c r="E283" s="1"/>
    </row>
    <row r="284" spans="5:5" ht="14.25" customHeight="1" x14ac:dyDescent="0.25">
      <c r="E284" s="1"/>
    </row>
    <row r="285" spans="5:5" ht="14.25" customHeight="1" x14ac:dyDescent="0.25">
      <c r="E285" s="1"/>
    </row>
    <row r="286" spans="5:5" ht="14.25" customHeight="1" x14ac:dyDescent="0.25">
      <c r="E286" s="1"/>
    </row>
    <row r="287" spans="5:5" ht="14.25" customHeight="1" x14ac:dyDescent="0.25">
      <c r="E287" s="1"/>
    </row>
    <row r="288" spans="5:5" ht="14.25" customHeight="1" x14ac:dyDescent="0.25">
      <c r="E288" s="1"/>
    </row>
    <row r="289" spans="5:5" ht="14.25" customHeight="1" x14ac:dyDescent="0.25">
      <c r="E289" s="1"/>
    </row>
    <row r="290" spans="5:5" ht="14.25" customHeight="1" x14ac:dyDescent="0.25">
      <c r="E290" s="1"/>
    </row>
    <row r="291" spans="5:5" ht="14.25" customHeight="1" x14ac:dyDescent="0.25">
      <c r="E291" s="1"/>
    </row>
    <row r="292" spans="5:5" ht="14.25" customHeight="1" x14ac:dyDescent="0.25">
      <c r="E292" s="1"/>
    </row>
    <row r="293" spans="5:5" ht="14.25" customHeight="1" x14ac:dyDescent="0.25">
      <c r="E293" s="1"/>
    </row>
    <row r="294" spans="5:5" ht="14.25" customHeight="1" x14ac:dyDescent="0.25">
      <c r="E294" s="1"/>
    </row>
    <row r="295" spans="5:5" ht="14.25" customHeight="1" x14ac:dyDescent="0.25">
      <c r="E295" s="1"/>
    </row>
    <row r="296" spans="5:5" ht="14.25" customHeight="1" x14ac:dyDescent="0.25">
      <c r="E296" s="1"/>
    </row>
    <row r="297" spans="5:5" ht="14.25" customHeight="1" x14ac:dyDescent="0.25">
      <c r="E297" s="1"/>
    </row>
    <row r="298" spans="5:5" ht="14.25" customHeight="1" x14ac:dyDescent="0.25">
      <c r="E298" s="1"/>
    </row>
    <row r="299" spans="5:5" ht="14.25" customHeight="1" x14ac:dyDescent="0.25">
      <c r="E299" s="1"/>
    </row>
    <row r="300" spans="5:5" ht="14.25" customHeight="1" x14ac:dyDescent="0.25">
      <c r="E300" s="1"/>
    </row>
    <row r="301" spans="5:5" ht="14.25" customHeight="1" x14ac:dyDescent="0.25">
      <c r="E301" s="1"/>
    </row>
    <row r="302" spans="5:5" ht="14.25" customHeight="1" x14ac:dyDescent="0.25">
      <c r="E302" s="1"/>
    </row>
    <row r="303" spans="5:5" ht="14.25" customHeight="1" x14ac:dyDescent="0.25">
      <c r="E303" s="1"/>
    </row>
    <row r="304" spans="5:5" ht="14.25" customHeight="1" x14ac:dyDescent="0.25">
      <c r="E304" s="1"/>
    </row>
    <row r="305" spans="5:5" ht="14.25" customHeight="1" x14ac:dyDescent="0.25">
      <c r="E305" s="1"/>
    </row>
    <row r="306" spans="5:5" ht="14.25" customHeight="1" x14ac:dyDescent="0.25">
      <c r="E306" s="1"/>
    </row>
    <row r="307" spans="5:5" ht="14.25" customHeight="1" x14ac:dyDescent="0.25">
      <c r="E307" s="1"/>
    </row>
    <row r="308" spans="5:5" ht="14.25" customHeight="1" x14ac:dyDescent="0.25">
      <c r="E308" s="1"/>
    </row>
    <row r="309" spans="5:5" ht="14.25" customHeight="1" x14ac:dyDescent="0.25">
      <c r="E309" s="1"/>
    </row>
    <row r="310" spans="5:5" ht="14.25" customHeight="1" x14ac:dyDescent="0.25">
      <c r="E310" s="1"/>
    </row>
    <row r="311" spans="5:5" ht="14.25" customHeight="1" x14ac:dyDescent="0.25">
      <c r="E311" s="1"/>
    </row>
    <row r="312" spans="5:5" ht="14.25" customHeight="1" x14ac:dyDescent="0.25">
      <c r="E312" s="1"/>
    </row>
    <row r="313" spans="5:5" ht="14.25" customHeight="1" x14ac:dyDescent="0.25">
      <c r="E313" s="1"/>
    </row>
    <row r="314" spans="5:5" ht="14.25" customHeight="1" x14ac:dyDescent="0.25">
      <c r="E314" s="1"/>
    </row>
    <row r="315" spans="5:5" ht="14.25" customHeight="1" x14ac:dyDescent="0.25">
      <c r="E315" s="1"/>
    </row>
    <row r="316" spans="5:5" ht="14.25" customHeight="1" x14ac:dyDescent="0.25">
      <c r="E316" s="1"/>
    </row>
    <row r="317" spans="5:5" ht="14.25" customHeight="1" x14ac:dyDescent="0.25">
      <c r="E317" s="1"/>
    </row>
    <row r="318" spans="5:5" ht="14.25" customHeight="1" x14ac:dyDescent="0.25">
      <c r="E318" s="1"/>
    </row>
    <row r="319" spans="5:5" ht="14.25" customHeight="1" x14ac:dyDescent="0.25">
      <c r="E319" s="1"/>
    </row>
    <row r="320" spans="5:5" ht="14.25" customHeight="1" x14ac:dyDescent="0.25">
      <c r="E320" s="1"/>
    </row>
    <row r="321" spans="5:5" ht="14.25" customHeight="1" x14ac:dyDescent="0.25">
      <c r="E321" s="1"/>
    </row>
    <row r="322" spans="5:5" ht="14.25" customHeight="1" x14ac:dyDescent="0.25">
      <c r="E322" s="1"/>
    </row>
    <row r="323" spans="5:5" ht="14.25" customHeight="1" x14ac:dyDescent="0.25">
      <c r="E323" s="1"/>
    </row>
    <row r="324" spans="5:5" ht="14.25" customHeight="1" x14ac:dyDescent="0.25">
      <c r="E324" s="1"/>
    </row>
    <row r="325" spans="5:5" ht="14.25" customHeight="1" x14ac:dyDescent="0.25">
      <c r="E325" s="1"/>
    </row>
    <row r="326" spans="5:5" ht="14.25" customHeight="1" x14ac:dyDescent="0.25">
      <c r="E326" s="1"/>
    </row>
    <row r="327" spans="5:5" ht="14.25" customHeight="1" x14ac:dyDescent="0.25">
      <c r="E327" s="1"/>
    </row>
    <row r="328" spans="5:5" ht="14.25" customHeight="1" x14ac:dyDescent="0.25">
      <c r="E328" s="1"/>
    </row>
    <row r="329" spans="5:5" ht="14.25" customHeight="1" x14ac:dyDescent="0.25">
      <c r="E329" s="1"/>
    </row>
    <row r="330" spans="5:5" ht="14.25" customHeight="1" x14ac:dyDescent="0.25">
      <c r="E330" s="1"/>
    </row>
    <row r="331" spans="5:5" ht="14.25" customHeight="1" x14ac:dyDescent="0.25">
      <c r="E331" s="1"/>
    </row>
    <row r="332" spans="5:5" ht="14.25" customHeight="1" x14ac:dyDescent="0.25">
      <c r="E332" s="1"/>
    </row>
    <row r="333" spans="5:5" ht="14.25" customHeight="1" x14ac:dyDescent="0.25">
      <c r="E333" s="1"/>
    </row>
    <row r="334" spans="5:5" ht="14.25" customHeight="1" x14ac:dyDescent="0.25">
      <c r="E334" s="1"/>
    </row>
    <row r="335" spans="5:5" ht="14.25" customHeight="1" x14ac:dyDescent="0.25">
      <c r="E335" s="1"/>
    </row>
    <row r="336" spans="5:5" ht="14.25" customHeight="1" x14ac:dyDescent="0.25">
      <c r="E336" s="1"/>
    </row>
    <row r="337" spans="5:5" ht="14.25" customHeight="1" x14ac:dyDescent="0.25">
      <c r="E337" s="1"/>
    </row>
    <row r="338" spans="5:5" ht="14.25" customHeight="1" x14ac:dyDescent="0.25">
      <c r="E338" s="1"/>
    </row>
    <row r="339" spans="5:5" ht="14.25" customHeight="1" x14ac:dyDescent="0.25">
      <c r="E339" s="1"/>
    </row>
    <row r="340" spans="5:5" ht="14.25" customHeight="1" x14ac:dyDescent="0.25">
      <c r="E340" s="1"/>
    </row>
    <row r="341" spans="5:5" ht="14.25" customHeight="1" x14ac:dyDescent="0.25">
      <c r="E341" s="1"/>
    </row>
    <row r="342" spans="5:5" ht="14.25" customHeight="1" x14ac:dyDescent="0.25">
      <c r="E342" s="1"/>
    </row>
    <row r="343" spans="5:5" ht="14.25" customHeight="1" x14ac:dyDescent="0.25">
      <c r="E343" s="1"/>
    </row>
    <row r="344" spans="5:5" ht="14.25" customHeight="1" x14ac:dyDescent="0.25">
      <c r="E344" s="1"/>
    </row>
    <row r="345" spans="5:5" ht="14.25" customHeight="1" x14ac:dyDescent="0.25">
      <c r="E345" s="1"/>
    </row>
    <row r="346" spans="5:5" ht="14.25" customHeight="1" x14ac:dyDescent="0.25">
      <c r="E346" s="1"/>
    </row>
    <row r="347" spans="5:5" ht="14.25" customHeight="1" x14ac:dyDescent="0.25">
      <c r="E347" s="1"/>
    </row>
    <row r="348" spans="5:5" ht="14.25" customHeight="1" x14ac:dyDescent="0.25">
      <c r="E348" s="1"/>
    </row>
    <row r="349" spans="5:5" ht="14.25" customHeight="1" x14ac:dyDescent="0.25">
      <c r="E349" s="1"/>
    </row>
    <row r="350" spans="5:5" ht="14.25" customHeight="1" x14ac:dyDescent="0.25">
      <c r="E350" s="1"/>
    </row>
    <row r="351" spans="5:5" ht="14.25" customHeight="1" x14ac:dyDescent="0.25">
      <c r="E351" s="1"/>
    </row>
    <row r="352" spans="5:5" ht="14.25" customHeight="1" x14ac:dyDescent="0.25">
      <c r="E352" s="1"/>
    </row>
    <row r="353" spans="5:5" ht="14.25" customHeight="1" x14ac:dyDescent="0.25">
      <c r="E353" s="1"/>
    </row>
    <row r="354" spans="5:5" ht="14.25" customHeight="1" x14ac:dyDescent="0.25">
      <c r="E354" s="1"/>
    </row>
    <row r="355" spans="5:5" ht="14.25" customHeight="1" x14ac:dyDescent="0.25">
      <c r="E355" s="1"/>
    </row>
    <row r="356" spans="5:5" ht="14.25" customHeight="1" x14ac:dyDescent="0.25">
      <c r="E356" s="1"/>
    </row>
    <row r="357" spans="5:5" ht="14.25" customHeight="1" x14ac:dyDescent="0.25">
      <c r="E357" s="1"/>
    </row>
    <row r="358" spans="5:5" ht="14.25" customHeight="1" x14ac:dyDescent="0.25">
      <c r="E358" s="1"/>
    </row>
    <row r="359" spans="5:5" ht="14.25" customHeight="1" x14ac:dyDescent="0.25">
      <c r="E359" s="1"/>
    </row>
    <row r="360" spans="5:5" ht="14.25" customHeight="1" x14ac:dyDescent="0.25">
      <c r="E360" s="1"/>
    </row>
    <row r="361" spans="5:5" ht="14.25" customHeight="1" x14ac:dyDescent="0.25">
      <c r="E361" s="1"/>
    </row>
    <row r="362" spans="5:5" ht="14.25" customHeight="1" x14ac:dyDescent="0.25">
      <c r="E362" s="1"/>
    </row>
    <row r="363" spans="5:5" ht="14.25" customHeight="1" x14ac:dyDescent="0.25">
      <c r="E363" s="1"/>
    </row>
    <row r="364" spans="5:5" ht="14.25" customHeight="1" x14ac:dyDescent="0.25">
      <c r="E364" s="1"/>
    </row>
    <row r="365" spans="5:5" ht="14.25" customHeight="1" x14ac:dyDescent="0.25">
      <c r="E365" s="1"/>
    </row>
    <row r="366" spans="5:5" ht="14.25" customHeight="1" x14ac:dyDescent="0.25">
      <c r="E366" s="1"/>
    </row>
    <row r="367" spans="5:5" ht="14.25" customHeight="1" x14ac:dyDescent="0.25">
      <c r="E367" s="1"/>
    </row>
    <row r="368" spans="5:5" ht="14.25" customHeight="1" x14ac:dyDescent="0.25">
      <c r="E368" s="1"/>
    </row>
    <row r="369" spans="5:5" ht="14.25" customHeight="1" x14ac:dyDescent="0.25">
      <c r="E369" s="1"/>
    </row>
    <row r="370" spans="5:5" ht="14.25" customHeight="1" x14ac:dyDescent="0.25">
      <c r="E370" s="1"/>
    </row>
    <row r="371" spans="5:5" ht="14.25" customHeight="1" x14ac:dyDescent="0.25">
      <c r="E371" s="1"/>
    </row>
    <row r="372" spans="5:5" ht="14.25" customHeight="1" x14ac:dyDescent="0.25">
      <c r="E372" s="1"/>
    </row>
    <row r="373" spans="5:5" ht="14.25" customHeight="1" x14ac:dyDescent="0.25">
      <c r="E373" s="1"/>
    </row>
    <row r="374" spans="5:5" ht="14.25" customHeight="1" x14ac:dyDescent="0.25">
      <c r="E374" s="1"/>
    </row>
    <row r="375" spans="5:5" ht="14.25" customHeight="1" x14ac:dyDescent="0.25">
      <c r="E375" s="1"/>
    </row>
    <row r="376" spans="5:5" ht="14.25" customHeight="1" x14ac:dyDescent="0.25">
      <c r="E376" s="1"/>
    </row>
    <row r="377" spans="5:5" ht="14.25" customHeight="1" x14ac:dyDescent="0.25">
      <c r="E377" s="1"/>
    </row>
    <row r="378" spans="5:5" ht="14.25" customHeight="1" x14ac:dyDescent="0.25">
      <c r="E378" s="1"/>
    </row>
    <row r="379" spans="5:5" ht="14.25" customHeight="1" x14ac:dyDescent="0.25">
      <c r="E379" s="1"/>
    </row>
    <row r="380" spans="5:5" ht="14.25" customHeight="1" x14ac:dyDescent="0.25">
      <c r="E380" s="1"/>
    </row>
    <row r="381" spans="5:5" ht="14.25" customHeight="1" x14ac:dyDescent="0.25">
      <c r="E381" s="1"/>
    </row>
    <row r="382" spans="5:5" ht="14.25" customHeight="1" x14ac:dyDescent="0.25">
      <c r="E382" s="1"/>
    </row>
    <row r="383" spans="5:5" ht="14.25" customHeight="1" x14ac:dyDescent="0.25">
      <c r="E383" s="1"/>
    </row>
    <row r="384" spans="5:5" ht="14.25" customHeight="1" x14ac:dyDescent="0.25">
      <c r="E384" s="1"/>
    </row>
    <row r="385" spans="5:5" ht="14.25" customHeight="1" x14ac:dyDescent="0.25">
      <c r="E385" s="1"/>
    </row>
    <row r="386" spans="5:5" ht="14.25" customHeight="1" x14ac:dyDescent="0.25">
      <c r="E386" s="1"/>
    </row>
    <row r="387" spans="5:5" ht="14.25" customHeight="1" x14ac:dyDescent="0.25">
      <c r="E387" s="1"/>
    </row>
    <row r="388" spans="5:5" ht="14.25" customHeight="1" x14ac:dyDescent="0.25">
      <c r="E388" s="1"/>
    </row>
    <row r="389" spans="5:5" ht="14.25" customHeight="1" x14ac:dyDescent="0.25">
      <c r="E389" s="1"/>
    </row>
    <row r="390" spans="5:5" ht="14.25" customHeight="1" x14ac:dyDescent="0.25">
      <c r="E390" s="1"/>
    </row>
    <row r="391" spans="5:5" ht="14.25" customHeight="1" x14ac:dyDescent="0.25">
      <c r="E391" s="1"/>
    </row>
    <row r="392" spans="5:5" ht="14.25" customHeight="1" x14ac:dyDescent="0.25">
      <c r="E392" s="1"/>
    </row>
    <row r="393" spans="5:5" ht="14.25" customHeight="1" x14ac:dyDescent="0.25">
      <c r="E393" s="1"/>
    </row>
    <row r="394" spans="5:5" ht="14.25" customHeight="1" x14ac:dyDescent="0.25">
      <c r="E394" s="1"/>
    </row>
    <row r="395" spans="5:5" ht="14.25" customHeight="1" x14ac:dyDescent="0.25">
      <c r="E395" s="1"/>
    </row>
    <row r="396" spans="5:5" ht="14.25" customHeight="1" x14ac:dyDescent="0.25">
      <c r="E396" s="1"/>
    </row>
    <row r="397" spans="5:5" ht="14.25" customHeight="1" x14ac:dyDescent="0.25">
      <c r="E397" s="1"/>
    </row>
    <row r="398" spans="5:5" ht="14.25" customHeight="1" x14ac:dyDescent="0.25">
      <c r="E398" s="1"/>
    </row>
    <row r="399" spans="5:5" ht="14.25" customHeight="1" x14ac:dyDescent="0.25">
      <c r="E399" s="1"/>
    </row>
    <row r="400" spans="5:5" ht="14.25" customHeight="1" x14ac:dyDescent="0.25">
      <c r="E400" s="1"/>
    </row>
    <row r="401" spans="5:5" ht="14.25" customHeight="1" x14ac:dyDescent="0.25">
      <c r="E401" s="1"/>
    </row>
    <row r="402" spans="5:5" ht="14.25" customHeight="1" x14ac:dyDescent="0.25">
      <c r="E402" s="1"/>
    </row>
    <row r="403" spans="5:5" ht="14.25" customHeight="1" x14ac:dyDescent="0.25">
      <c r="E403" s="1"/>
    </row>
    <row r="404" spans="5:5" ht="14.25" customHeight="1" x14ac:dyDescent="0.25">
      <c r="E404" s="1"/>
    </row>
    <row r="405" spans="5:5" ht="14.25" customHeight="1" x14ac:dyDescent="0.25">
      <c r="E405" s="1"/>
    </row>
    <row r="406" spans="5:5" ht="14.25" customHeight="1" x14ac:dyDescent="0.25">
      <c r="E406" s="1"/>
    </row>
    <row r="407" spans="5:5" ht="14.25" customHeight="1" x14ac:dyDescent="0.25">
      <c r="E407" s="1"/>
    </row>
    <row r="408" spans="5:5" ht="14.25" customHeight="1" x14ac:dyDescent="0.25">
      <c r="E408" s="1"/>
    </row>
    <row r="409" spans="5:5" ht="14.25" customHeight="1" x14ac:dyDescent="0.25">
      <c r="E409" s="1"/>
    </row>
    <row r="410" spans="5:5" ht="14.25" customHeight="1" x14ac:dyDescent="0.25">
      <c r="E410" s="1"/>
    </row>
    <row r="411" spans="5:5" ht="14.25" customHeight="1" x14ac:dyDescent="0.25">
      <c r="E411" s="1"/>
    </row>
    <row r="412" spans="5:5" ht="14.25" customHeight="1" x14ac:dyDescent="0.25">
      <c r="E412" s="1"/>
    </row>
    <row r="413" spans="5:5" ht="14.25" customHeight="1" x14ac:dyDescent="0.25">
      <c r="E413" s="1"/>
    </row>
    <row r="414" spans="5:5" ht="14.25" customHeight="1" x14ac:dyDescent="0.25">
      <c r="E414" s="1"/>
    </row>
    <row r="415" spans="5:5" ht="14.25" customHeight="1" x14ac:dyDescent="0.25">
      <c r="E415" s="1"/>
    </row>
    <row r="416" spans="5:5" ht="14.25" customHeight="1" x14ac:dyDescent="0.25">
      <c r="E416" s="1"/>
    </row>
    <row r="417" spans="5:5" ht="14.25" customHeight="1" x14ac:dyDescent="0.25">
      <c r="E417" s="1"/>
    </row>
    <row r="418" spans="5:5" ht="14.25" customHeight="1" x14ac:dyDescent="0.25">
      <c r="E418" s="1"/>
    </row>
    <row r="419" spans="5:5" ht="14.25" customHeight="1" x14ac:dyDescent="0.25">
      <c r="E419" s="1"/>
    </row>
    <row r="420" spans="5:5" ht="14.25" customHeight="1" x14ac:dyDescent="0.25">
      <c r="E420" s="1"/>
    </row>
    <row r="421" spans="5:5" ht="14.25" customHeight="1" x14ac:dyDescent="0.25">
      <c r="E421" s="1"/>
    </row>
    <row r="422" spans="5:5" ht="14.25" customHeight="1" x14ac:dyDescent="0.25">
      <c r="E422" s="1"/>
    </row>
    <row r="423" spans="5:5" ht="14.25" customHeight="1" x14ac:dyDescent="0.25">
      <c r="E423" s="1"/>
    </row>
    <row r="424" spans="5:5" ht="14.25" customHeight="1" x14ac:dyDescent="0.25">
      <c r="E424" s="1"/>
    </row>
    <row r="425" spans="5:5" ht="14.25" customHeight="1" x14ac:dyDescent="0.25">
      <c r="E425" s="1"/>
    </row>
    <row r="426" spans="5:5" ht="14.25" customHeight="1" x14ac:dyDescent="0.25">
      <c r="E426" s="1"/>
    </row>
    <row r="427" spans="5:5" ht="14.25" customHeight="1" x14ac:dyDescent="0.25">
      <c r="E427" s="1"/>
    </row>
    <row r="428" spans="5:5" ht="14.25" customHeight="1" x14ac:dyDescent="0.25">
      <c r="E428" s="1"/>
    </row>
    <row r="429" spans="5:5" ht="14.25" customHeight="1" x14ac:dyDescent="0.25">
      <c r="E429" s="1"/>
    </row>
    <row r="430" spans="5:5" ht="14.25" customHeight="1" x14ac:dyDescent="0.25">
      <c r="E430" s="1"/>
    </row>
    <row r="431" spans="5:5" ht="14.25" customHeight="1" x14ac:dyDescent="0.25">
      <c r="E431" s="1"/>
    </row>
    <row r="432" spans="5:5" ht="14.25" customHeight="1" x14ac:dyDescent="0.25">
      <c r="E432" s="1"/>
    </row>
    <row r="433" spans="5:5" ht="14.25" customHeight="1" x14ac:dyDescent="0.25">
      <c r="E433" s="1"/>
    </row>
    <row r="434" spans="5:5" ht="14.25" customHeight="1" x14ac:dyDescent="0.25">
      <c r="E434" s="1"/>
    </row>
    <row r="435" spans="5:5" ht="14.25" customHeight="1" x14ac:dyDescent="0.25">
      <c r="E435" s="1"/>
    </row>
    <row r="436" spans="5:5" ht="14.25" customHeight="1" x14ac:dyDescent="0.25">
      <c r="E436" s="1"/>
    </row>
    <row r="437" spans="5:5" ht="14.25" customHeight="1" x14ac:dyDescent="0.25">
      <c r="E437" s="1"/>
    </row>
    <row r="438" spans="5:5" ht="14.25" customHeight="1" x14ac:dyDescent="0.25">
      <c r="E438" s="1"/>
    </row>
    <row r="439" spans="5:5" ht="14.25" customHeight="1" x14ac:dyDescent="0.25">
      <c r="E439" s="1"/>
    </row>
    <row r="440" spans="5:5" ht="14.25" customHeight="1" x14ac:dyDescent="0.25">
      <c r="E440" s="1"/>
    </row>
    <row r="441" spans="5:5" ht="14.25" customHeight="1" x14ac:dyDescent="0.25">
      <c r="E441" s="1"/>
    </row>
    <row r="442" spans="5:5" ht="14.25" customHeight="1" x14ac:dyDescent="0.25">
      <c r="E442" s="1"/>
    </row>
    <row r="443" spans="5:5" ht="14.25" customHeight="1" x14ac:dyDescent="0.25">
      <c r="E443" s="1"/>
    </row>
    <row r="444" spans="5:5" ht="14.25" customHeight="1" x14ac:dyDescent="0.25">
      <c r="E444" s="1"/>
    </row>
    <row r="445" spans="5:5" ht="14.25" customHeight="1" x14ac:dyDescent="0.25">
      <c r="E445" s="1"/>
    </row>
    <row r="446" spans="5:5" ht="14.25" customHeight="1" x14ac:dyDescent="0.25">
      <c r="E446" s="1"/>
    </row>
    <row r="447" spans="5:5" ht="14.25" customHeight="1" x14ac:dyDescent="0.25">
      <c r="E447" s="1"/>
    </row>
    <row r="448" spans="5:5" ht="14.25" customHeight="1" x14ac:dyDescent="0.25">
      <c r="E448" s="1"/>
    </row>
    <row r="449" spans="5:5" ht="14.25" customHeight="1" x14ac:dyDescent="0.25">
      <c r="E449" s="1"/>
    </row>
    <row r="450" spans="5:5" ht="14.25" customHeight="1" x14ac:dyDescent="0.25">
      <c r="E450" s="1"/>
    </row>
    <row r="451" spans="5:5" ht="14.25" customHeight="1" x14ac:dyDescent="0.25">
      <c r="E451" s="1"/>
    </row>
    <row r="452" spans="5:5" ht="14.25" customHeight="1" x14ac:dyDescent="0.25">
      <c r="E452" s="1"/>
    </row>
    <row r="453" spans="5:5" ht="14.25" customHeight="1" x14ac:dyDescent="0.25">
      <c r="E453" s="1"/>
    </row>
    <row r="454" spans="5:5" ht="14.25" customHeight="1" x14ac:dyDescent="0.25">
      <c r="E454" s="1"/>
    </row>
    <row r="455" spans="5:5" ht="14.25" customHeight="1" x14ac:dyDescent="0.25">
      <c r="E455" s="1"/>
    </row>
    <row r="456" spans="5:5" ht="14.25" customHeight="1" x14ac:dyDescent="0.25">
      <c r="E456" s="1"/>
    </row>
    <row r="457" spans="5:5" ht="14.25" customHeight="1" x14ac:dyDescent="0.25">
      <c r="E457" s="1"/>
    </row>
    <row r="458" spans="5:5" ht="14.25" customHeight="1" x14ac:dyDescent="0.25">
      <c r="E458" s="1"/>
    </row>
    <row r="459" spans="5:5" ht="14.25" customHeight="1" x14ac:dyDescent="0.25">
      <c r="E459" s="1"/>
    </row>
    <row r="460" spans="5:5" ht="14.25" customHeight="1" x14ac:dyDescent="0.25">
      <c r="E460" s="1"/>
    </row>
    <row r="461" spans="5:5" ht="14.25" customHeight="1" x14ac:dyDescent="0.25">
      <c r="E461" s="1"/>
    </row>
    <row r="462" spans="5:5" ht="14.25" customHeight="1" x14ac:dyDescent="0.25">
      <c r="E462" s="1"/>
    </row>
    <row r="463" spans="5:5" ht="14.25" customHeight="1" x14ac:dyDescent="0.25">
      <c r="E463" s="1"/>
    </row>
    <row r="464" spans="5:5" ht="14.25" customHeight="1" x14ac:dyDescent="0.25">
      <c r="E464" s="1"/>
    </row>
    <row r="465" spans="5:5" ht="14.25" customHeight="1" x14ac:dyDescent="0.25">
      <c r="E465" s="1"/>
    </row>
    <row r="466" spans="5:5" ht="14.25" customHeight="1" x14ac:dyDescent="0.25">
      <c r="E466" s="1"/>
    </row>
    <row r="467" spans="5:5" ht="14.25" customHeight="1" x14ac:dyDescent="0.25">
      <c r="E467" s="1"/>
    </row>
    <row r="468" spans="5:5" ht="14.25" customHeight="1" x14ac:dyDescent="0.25">
      <c r="E468" s="1"/>
    </row>
    <row r="469" spans="5:5" ht="14.25" customHeight="1" x14ac:dyDescent="0.25">
      <c r="E469" s="1"/>
    </row>
    <row r="470" spans="5:5" ht="14.25" customHeight="1" x14ac:dyDescent="0.25">
      <c r="E470" s="1"/>
    </row>
    <row r="471" spans="5:5" ht="14.25" customHeight="1" x14ac:dyDescent="0.25">
      <c r="E471" s="1"/>
    </row>
    <row r="472" spans="5:5" ht="14.25" customHeight="1" x14ac:dyDescent="0.25">
      <c r="E472" s="1"/>
    </row>
    <row r="473" spans="5:5" ht="14.25" customHeight="1" x14ac:dyDescent="0.25">
      <c r="E473" s="1"/>
    </row>
    <row r="474" spans="5:5" ht="14.25" customHeight="1" x14ac:dyDescent="0.25">
      <c r="E474" s="1"/>
    </row>
    <row r="475" spans="5:5" ht="14.25" customHeight="1" x14ac:dyDescent="0.25">
      <c r="E475" s="1"/>
    </row>
    <row r="476" spans="5:5" ht="14.25" customHeight="1" x14ac:dyDescent="0.25">
      <c r="E476" s="1"/>
    </row>
    <row r="477" spans="5:5" ht="14.25" customHeight="1" x14ac:dyDescent="0.25">
      <c r="E477" s="1"/>
    </row>
    <row r="478" spans="5:5" ht="14.25" customHeight="1" x14ac:dyDescent="0.25">
      <c r="E478" s="1"/>
    </row>
    <row r="479" spans="5:5" ht="14.25" customHeight="1" x14ac:dyDescent="0.25">
      <c r="E479" s="1"/>
    </row>
    <row r="480" spans="5:5" ht="14.25" customHeight="1" x14ac:dyDescent="0.25">
      <c r="E480" s="1"/>
    </row>
    <row r="481" spans="5:5" ht="14.25" customHeight="1" x14ac:dyDescent="0.25">
      <c r="E481" s="1"/>
    </row>
    <row r="482" spans="5:5" ht="14.25" customHeight="1" x14ac:dyDescent="0.25">
      <c r="E482" s="1"/>
    </row>
    <row r="483" spans="5:5" ht="14.25" customHeight="1" x14ac:dyDescent="0.25">
      <c r="E483" s="1"/>
    </row>
    <row r="484" spans="5:5" ht="14.25" customHeight="1" x14ac:dyDescent="0.25">
      <c r="E484" s="1"/>
    </row>
    <row r="485" spans="5:5" ht="14.25" customHeight="1" x14ac:dyDescent="0.25">
      <c r="E485" s="1"/>
    </row>
    <row r="486" spans="5:5" ht="14.25" customHeight="1" x14ac:dyDescent="0.25">
      <c r="E486" s="1"/>
    </row>
    <row r="487" spans="5:5" ht="14.25" customHeight="1" x14ac:dyDescent="0.25">
      <c r="E487" s="1"/>
    </row>
    <row r="488" spans="5:5" ht="14.25" customHeight="1" x14ac:dyDescent="0.25">
      <c r="E488" s="1"/>
    </row>
    <row r="489" spans="5:5" ht="14.25" customHeight="1" x14ac:dyDescent="0.25">
      <c r="E489" s="1"/>
    </row>
    <row r="490" spans="5:5" ht="14.25" customHeight="1" x14ac:dyDescent="0.25">
      <c r="E490" s="1"/>
    </row>
    <row r="491" spans="5:5" ht="14.25" customHeight="1" x14ac:dyDescent="0.25">
      <c r="E491" s="1"/>
    </row>
    <row r="492" spans="5:5" ht="14.25" customHeight="1" x14ac:dyDescent="0.25">
      <c r="E492" s="1"/>
    </row>
    <row r="493" spans="5:5" ht="14.25" customHeight="1" x14ac:dyDescent="0.25">
      <c r="E493" s="1"/>
    </row>
    <row r="494" spans="5:5" ht="14.25" customHeight="1" x14ac:dyDescent="0.25">
      <c r="E494" s="1"/>
    </row>
    <row r="495" spans="5:5" ht="14.25" customHeight="1" x14ac:dyDescent="0.25">
      <c r="E495" s="1"/>
    </row>
    <row r="496" spans="5:5" ht="14.25" customHeight="1" x14ac:dyDescent="0.25">
      <c r="E496" s="1"/>
    </row>
    <row r="497" spans="5:5" ht="14.25" customHeight="1" x14ac:dyDescent="0.25">
      <c r="E497" s="1"/>
    </row>
    <row r="498" spans="5:5" ht="14.25" customHeight="1" x14ac:dyDescent="0.25">
      <c r="E498" s="1"/>
    </row>
    <row r="499" spans="5:5" ht="14.25" customHeight="1" x14ac:dyDescent="0.25">
      <c r="E499" s="1"/>
    </row>
    <row r="500" spans="5:5" ht="14.25" customHeight="1" x14ac:dyDescent="0.25">
      <c r="E500" s="1"/>
    </row>
    <row r="501" spans="5:5" ht="14.25" customHeight="1" x14ac:dyDescent="0.25">
      <c r="E501" s="1"/>
    </row>
    <row r="502" spans="5:5" ht="14.25" customHeight="1" x14ac:dyDescent="0.25">
      <c r="E502" s="1"/>
    </row>
    <row r="503" spans="5:5" ht="14.25" customHeight="1" x14ac:dyDescent="0.25">
      <c r="E503" s="1"/>
    </row>
    <row r="504" spans="5:5" ht="14.25" customHeight="1" x14ac:dyDescent="0.25">
      <c r="E504" s="1"/>
    </row>
    <row r="505" spans="5:5" ht="14.25" customHeight="1" x14ac:dyDescent="0.25">
      <c r="E505" s="1"/>
    </row>
    <row r="506" spans="5:5" ht="14.25" customHeight="1" x14ac:dyDescent="0.25">
      <c r="E506" s="1"/>
    </row>
    <row r="507" spans="5:5" ht="14.25" customHeight="1" x14ac:dyDescent="0.25">
      <c r="E507" s="1"/>
    </row>
    <row r="508" spans="5:5" ht="14.25" customHeight="1" x14ac:dyDescent="0.25">
      <c r="E508" s="1"/>
    </row>
    <row r="509" spans="5:5" ht="14.25" customHeight="1" x14ac:dyDescent="0.25">
      <c r="E509" s="1"/>
    </row>
    <row r="510" spans="5:5" ht="14.25" customHeight="1" x14ac:dyDescent="0.25">
      <c r="E510" s="1"/>
    </row>
    <row r="511" spans="5:5" ht="14.25" customHeight="1" x14ac:dyDescent="0.25">
      <c r="E511" s="1"/>
    </row>
    <row r="512" spans="5:5" ht="14.25" customHeight="1" x14ac:dyDescent="0.25">
      <c r="E512" s="1"/>
    </row>
    <row r="513" spans="5:5" ht="14.25" customHeight="1" x14ac:dyDescent="0.25">
      <c r="E513" s="1"/>
    </row>
    <row r="514" spans="5:5" ht="14.25" customHeight="1" x14ac:dyDescent="0.25">
      <c r="E514" s="1"/>
    </row>
    <row r="515" spans="5:5" ht="14.25" customHeight="1" x14ac:dyDescent="0.25">
      <c r="E515" s="1"/>
    </row>
    <row r="516" spans="5:5" ht="14.25" customHeight="1" x14ac:dyDescent="0.25">
      <c r="E516" s="1"/>
    </row>
    <row r="517" spans="5:5" ht="14.25" customHeight="1" x14ac:dyDescent="0.25">
      <c r="E517" s="1"/>
    </row>
    <row r="518" spans="5:5" ht="14.25" customHeight="1" x14ac:dyDescent="0.25">
      <c r="E518" s="1"/>
    </row>
    <row r="519" spans="5:5" ht="14.25" customHeight="1" x14ac:dyDescent="0.25">
      <c r="E519" s="1"/>
    </row>
    <row r="520" spans="5:5" ht="14.25" customHeight="1" x14ac:dyDescent="0.25">
      <c r="E520" s="1"/>
    </row>
    <row r="521" spans="5:5" ht="14.25" customHeight="1" x14ac:dyDescent="0.25">
      <c r="E521" s="1"/>
    </row>
    <row r="522" spans="5:5" ht="14.25" customHeight="1" x14ac:dyDescent="0.25">
      <c r="E522" s="1"/>
    </row>
    <row r="523" spans="5:5" ht="14.25" customHeight="1" x14ac:dyDescent="0.25">
      <c r="E523" s="1"/>
    </row>
    <row r="524" spans="5:5" ht="14.25" customHeight="1" x14ac:dyDescent="0.25">
      <c r="E524" s="1"/>
    </row>
    <row r="525" spans="5:5" ht="14.25" customHeight="1" x14ac:dyDescent="0.25">
      <c r="E525" s="1"/>
    </row>
    <row r="526" spans="5:5" ht="14.25" customHeight="1" x14ac:dyDescent="0.25">
      <c r="E526" s="1"/>
    </row>
    <row r="527" spans="5:5" ht="14.25" customHeight="1" x14ac:dyDescent="0.25">
      <c r="E527" s="1"/>
    </row>
    <row r="528" spans="5:5" ht="14.25" customHeight="1" x14ac:dyDescent="0.25">
      <c r="E528" s="1"/>
    </row>
    <row r="529" spans="5:5" ht="14.25" customHeight="1" x14ac:dyDescent="0.25">
      <c r="E529" s="1"/>
    </row>
    <row r="530" spans="5:5" ht="14.25" customHeight="1" x14ac:dyDescent="0.25">
      <c r="E530" s="1"/>
    </row>
    <row r="531" spans="5:5" ht="14.25" customHeight="1" x14ac:dyDescent="0.25">
      <c r="E531" s="1"/>
    </row>
    <row r="532" spans="5:5" ht="14.25" customHeight="1" x14ac:dyDescent="0.25">
      <c r="E532" s="1"/>
    </row>
    <row r="533" spans="5:5" ht="14.25" customHeight="1" x14ac:dyDescent="0.25">
      <c r="E533" s="1"/>
    </row>
    <row r="534" spans="5:5" ht="14.25" customHeight="1" x14ac:dyDescent="0.25">
      <c r="E534" s="1"/>
    </row>
    <row r="535" spans="5:5" ht="14.25" customHeight="1" x14ac:dyDescent="0.25">
      <c r="E535" s="1"/>
    </row>
    <row r="536" spans="5:5" ht="14.25" customHeight="1" x14ac:dyDescent="0.25">
      <c r="E536" s="1"/>
    </row>
    <row r="537" spans="5:5" ht="14.25" customHeight="1" x14ac:dyDescent="0.25">
      <c r="E537" s="1"/>
    </row>
    <row r="538" spans="5:5" ht="14.25" customHeight="1" x14ac:dyDescent="0.25">
      <c r="E538" s="1"/>
    </row>
    <row r="539" spans="5:5" ht="14.25" customHeight="1" x14ac:dyDescent="0.25">
      <c r="E539" s="1"/>
    </row>
    <row r="540" spans="5:5" ht="14.25" customHeight="1" x14ac:dyDescent="0.25">
      <c r="E540" s="1"/>
    </row>
    <row r="541" spans="5:5" ht="14.25" customHeight="1" x14ac:dyDescent="0.25">
      <c r="E541" s="1"/>
    </row>
    <row r="542" spans="5:5" ht="14.25" customHeight="1" x14ac:dyDescent="0.25">
      <c r="E542" s="1"/>
    </row>
    <row r="543" spans="5:5" ht="14.25" customHeight="1" x14ac:dyDescent="0.25">
      <c r="E543" s="1"/>
    </row>
    <row r="544" spans="5:5" ht="14.25" customHeight="1" x14ac:dyDescent="0.25">
      <c r="E544" s="1"/>
    </row>
    <row r="545" spans="5:5" ht="14.25" customHeight="1" x14ac:dyDescent="0.25">
      <c r="E545" s="1"/>
    </row>
    <row r="546" spans="5:5" ht="14.25" customHeight="1" x14ac:dyDescent="0.25">
      <c r="E546" s="1"/>
    </row>
    <row r="547" spans="5:5" ht="14.25" customHeight="1" x14ac:dyDescent="0.25">
      <c r="E547" s="1"/>
    </row>
    <row r="548" spans="5:5" ht="14.25" customHeight="1" x14ac:dyDescent="0.25">
      <c r="E548" s="1"/>
    </row>
    <row r="549" spans="5:5" ht="14.25" customHeight="1" x14ac:dyDescent="0.25">
      <c r="E549" s="1"/>
    </row>
    <row r="550" spans="5:5" ht="14.25" customHeight="1" x14ac:dyDescent="0.25">
      <c r="E550" s="1"/>
    </row>
    <row r="551" spans="5:5" ht="14.25" customHeight="1" x14ac:dyDescent="0.25">
      <c r="E551" s="1"/>
    </row>
    <row r="552" spans="5:5" ht="14.25" customHeight="1" x14ac:dyDescent="0.25">
      <c r="E552" s="1"/>
    </row>
    <row r="553" spans="5:5" ht="14.25" customHeight="1" x14ac:dyDescent="0.25">
      <c r="E553" s="1"/>
    </row>
    <row r="554" spans="5:5" ht="14.25" customHeight="1" x14ac:dyDescent="0.25">
      <c r="E554" s="1"/>
    </row>
    <row r="555" spans="5:5" ht="14.25" customHeight="1" x14ac:dyDescent="0.25">
      <c r="E555" s="1"/>
    </row>
    <row r="556" spans="5:5" ht="14.25" customHeight="1" x14ac:dyDescent="0.25">
      <c r="E556" s="1"/>
    </row>
    <row r="557" spans="5:5" ht="14.25" customHeight="1" x14ac:dyDescent="0.25">
      <c r="E557" s="1"/>
    </row>
    <row r="558" spans="5:5" ht="14.25" customHeight="1" x14ac:dyDescent="0.25">
      <c r="E558" s="1"/>
    </row>
    <row r="559" spans="5:5" ht="14.25" customHeight="1" x14ac:dyDescent="0.25">
      <c r="E559" s="1"/>
    </row>
    <row r="560" spans="5:5" ht="14.25" customHeight="1" x14ac:dyDescent="0.25">
      <c r="E560" s="1"/>
    </row>
    <row r="561" spans="5:5" ht="14.25" customHeight="1" x14ac:dyDescent="0.25">
      <c r="E561" s="1"/>
    </row>
    <row r="562" spans="5:5" ht="14.25" customHeight="1" x14ac:dyDescent="0.25">
      <c r="E562" s="1"/>
    </row>
    <row r="563" spans="5:5" ht="14.25" customHeight="1" x14ac:dyDescent="0.25">
      <c r="E563" s="1"/>
    </row>
    <row r="564" spans="5:5" ht="14.25" customHeight="1" x14ac:dyDescent="0.25">
      <c r="E564" s="1"/>
    </row>
    <row r="565" spans="5:5" ht="14.25" customHeight="1" x14ac:dyDescent="0.25">
      <c r="E565" s="1"/>
    </row>
    <row r="566" spans="5:5" ht="14.25" customHeight="1" x14ac:dyDescent="0.25">
      <c r="E566" s="1"/>
    </row>
    <row r="567" spans="5:5" ht="14.25" customHeight="1" x14ac:dyDescent="0.25">
      <c r="E567" s="1"/>
    </row>
    <row r="568" spans="5:5" ht="14.25" customHeight="1" x14ac:dyDescent="0.25">
      <c r="E568" s="1"/>
    </row>
    <row r="569" spans="5:5" ht="14.25" customHeight="1" x14ac:dyDescent="0.25">
      <c r="E569" s="1"/>
    </row>
    <row r="570" spans="5:5" ht="14.25" customHeight="1" x14ac:dyDescent="0.25">
      <c r="E570" s="1"/>
    </row>
    <row r="571" spans="5:5" ht="14.25" customHeight="1" x14ac:dyDescent="0.25">
      <c r="E571" s="1"/>
    </row>
    <row r="572" spans="5:5" ht="14.25" customHeight="1" x14ac:dyDescent="0.25">
      <c r="E572" s="1"/>
    </row>
    <row r="573" spans="5:5" ht="14.25" customHeight="1" x14ac:dyDescent="0.25">
      <c r="E573" s="1"/>
    </row>
    <row r="574" spans="5:5" ht="14.25" customHeight="1" x14ac:dyDescent="0.25">
      <c r="E574" s="1"/>
    </row>
    <row r="575" spans="5:5" ht="14.25" customHeight="1" x14ac:dyDescent="0.25">
      <c r="E575" s="1"/>
    </row>
    <row r="576" spans="5:5" ht="14.25" customHeight="1" x14ac:dyDescent="0.25">
      <c r="E576" s="1"/>
    </row>
    <row r="577" spans="5:5" ht="14.25" customHeight="1" x14ac:dyDescent="0.25">
      <c r="E577" s="1"/>
    </row>
    <row r="578" spans="5:5" ht="14.25" customHeight="1" x14ac:dyDescent="0.25">
      <c r="E578" s="1"/>
    </row>
    <row r="579" spans="5:5" ht="14.25" customHeight="1" x14ac:dyDescent="0.25">
      <c r="E579" s="1"/>
    </row>
    <row r="580" spans="5:5" ht="14.25" customHeight="1" x14ac:dyDescent="0.25">
      <c r="E580" s="1"/>
    </row>
    <row r="581" spans="5:5" ht="14.25" customHeight="1" x14ac:dyDescent="0.25">
      <c r="E581" s="1"/>
    </row>
    <row r="582" spans="5:5" ht="14.25" customHeight="1" x14ac:dyDescent="0.25">
      <c r="E582" s="1"/>
    </row>
    <row r="583" spans="5:5" ht="14.25" customHeight="1" x14ac:dyDescent="0.25">
      <c r="E583" s="1"/>
    </row>
    <row r="584" spans="5:5" ht="14.25" customHeight="1" x14ac:dyDescent="0.25">
      <c r="E584" s="1"/>
    </row>
    <row r="585" spans="5:5" ht="14.25" customHeight="1" x14ac:dyDescent="0.25">
      <c r="E585" s="1"/>
    </row>
    <row r="586" spans="5:5" ht="14.25" customHeight="1" x14ac:dyDescent="0.25">
      <c r="E586" s="1"/>
    </row>
    <row r="587" spans="5:5" ht="14.25" customHeight="1" x14ac:dyDescent="0.25">
      <c r="E587" s="1"/>
    </row>
    <row r="588" spans="5:5" ht="14.25" customHeight="1" x14ac:dyDescent="0.25">
      <c r="E588" s="1"/>
    </row>
    <row r="589" spans="5:5" ht="14.25" customHeight="1" x14ac:dyDescent="0.25">
      <c r="E589" s="1"/>
    </row>
    <row r="590" spans="5:5" ht="14.25" customHeight="1" x14ac:dyDescent="0.25">
      <c r="E590" s="1"/>
    </row>
    <row r="591" spans="5:5" ht="14.25" customHeight="1" x14ac:dyDescent="0.25">
      <c r="E591" s="1"/>
    </row>
    <row r="592" spans="5:5" ht="14.25" customHeight="1" x14ac:dyDescent="0.25">
      <c r="E592" s="1"/>
    </row>
    <row r="593" spans="5:5" ht="14.25" customHeight="1" x14ac:dyDescent="0.25">
      <c r="E593" s="1"/>
    </row>
    <row r="594" spans="5:5" ht="14.25" customHeight="1" x14ac:dyDescent="0.25">
      <c r="E594" s="1"/>
    </row>
    <row r="595" spans="5:5" ht="14.25" customHeight="1" x14ac:dyDescent="0.25">
      <c r="E595" s="1"/>
    </row>
    <row r="596" spans="5:5" ht="14.25" customHeight="1" x14ac:dyDescent="0.25">
      <c r="E596" s="1"/>
    </row>
    <row r="597" spans="5:5" ht="14.25" customHeight="1" x14ac:dyDescent="0.25">
      <c r="E597" s="1"/>
    </row>
    <row r="598" spans="5:5" ht="14.25" customHeight="1" x14ac:dyDescent="0.25">
      <c r="E598" s="1"/>
    </row>
    <row r="599" spans="5:5" ht="14.25" customHeight="1" x14ac:dyDescent="0.25">
      <c r="E599" s="1"/>
    </row>
    <row r="600" spans="5:5" ht="14.25" customHeight="1" x14ac:dyDescent="0.25">
      <c r="E600" s="1"/>
    </row>
    <row r="601" spans="5:5" ht="14.25" customHeight="1" x14ac:dyDescent="0.25">
      <c r="E601" s="1"/>
    </row>
    <row r="602" spans="5:5" ht="14.25" customHeight="1" x14ac:dyDescent="0.25">
      <c r="E602" s="1"/>
    </row>
    <row r="603" spans="5:5" ht="14.25" customHeight="1" x14ac:dyDescent="0.25">
      <c r="E603" s="1"/>
    </row>
    <row r="604" spans="5:5" ht="14.25" customHeight="1" x14ac:dyDescent="0.25">
      <c r="E604" s="1"/>
    </row>
    <row r="605" spans="5:5" ht="14.25" customHeight="1" x14ac:dyDescent="0.25">
      <c r="E605" s="1"/>
    </row>
    <row r="606" spans="5:5" ht="14.25" customHeight="1" x14ac:dyDescent="0.25">
      <c r="E606" s="1"/>
    </row>
    <row r="607" spans="5:5" ht="14.25" customHeight="1" x14ac:dyDescent="0.25">
      <c r="E607" s="1"/>
    </row>
    <row r="608" spans="5:5" ht="14.25" customHeight="1" x14ac:dyDescent="0.25">
      <c r="E608" s="1"/>
    </row>
    <row r="609" spans="5:5" ht="14.25" customHeight="1" x14ac:dyDescent="0.25">
      <c r="E609" s="1"/>
    </row>
    <row r="610" spans="5:5" ht="14.25" customHeight="1" x14ac:dyDescent="0.25">
      <c r="E610" s="1"/>
    </row>
    <row r="611" spans="5:5" ht="14.25" customHeight="1" x14ac:dyDescent="0.25">
      <c r="E611" s="1"/>
    </row>
    <row r="612" spans="5:5" ht="14.25" customHeight="1" x14ac:dyDescent="0.25">
      <c r="E612" s="1"/>
    </row>
    <row r="613" spans="5:5" ht="14.25" customHeight="1" x14ac:dyDescent="0.25">
      <c r="E613" s="1"/>
    </row>
    <row r="614" spans="5:5" ht="14.25" customHeight="1" x14ac:dyDescent="0.25">
      <c r="E614" s="1"/>
    </row>
    <row r="615" spans="5:5" ht="14.25" customHeight="1" x14ac:dyDescent="0.25">
      <c r="E615" s="1"/>
    </row>
    <row r="616" spans="5:5" ht="14.25" customHeight="1" x14ac:dyDescent="0.25">
      <c r="E616" s="1"/>
    </row>
    <row r="617" spans="5:5" ht="14.25" customHeight="1" x14ac:dyDescent="0.25">
      <c r="E617" s="1"/>
    </row>
    <row r="618" spans="5:5" ht="14.25" customHeight="1" x14ac:dyDescent="0.25">
      <c r="E618" s="1"/>
    </row>
    <row r="619" spans="5:5" ht="14.25" customHeight="1" x14ac:dyDescent="0.25">
      <c r="E619" s="1"/>
    </row>
    <row r="620" spans="5:5" ht="14.25" customHeight="1" x14ac:dyDescent="0.25">
      <c r="E620" s="1"/>
    </row>
    <row r="621" spans="5:5" ht="14.25" customHeight="1" x14ac:dyDescent="0.25">
      <c r="E621" s="1"/>
    </row>
    <row r="622" spans="5:5" ht="14.25" customHeight="1" x14ac:dyDescent="0.25">
      <c r="E622" s="1"/>
    </row>
    <row r="623" spans="5:5" ht="14.25" customHeight="1" x14ac:dyDescent="0.25">
      <c r="E623" s="1"/>
    </row>
    <row r="624" spans="5:5" ht="14.25" customHeight="1" x14ac:dyDescent="0.25">
      <c r="E624" s="1"/>
    </row>
    <row r="625" spans="5:5" ht="14.25" customHeight="1" x14ac:dyDescent="0.25">
      <c r="E625" s="1"/>
    </row>
    <row r="626" spans="5:5" ht="14.25" customHeight="1" x14ac:dyDescent="0.25">
      <c r="E626" s="1"/>
    </row>
    <row r="627" spans="5:5" ht="14.25" customHeight="1" x14ac:dyDescent="0.25">
      <c r="E627" s="1"/>
    </row>
    <row r="628" spans="5:5" ht="14.25" customHeight="1" x14ac:dyDescent="0.25">
      <c r="E628" s="1"/>
    </row>
    <row r="629" spans="5:5" ht="14.25" customHeight="1" x14ac:dyDescent="0.25">
      <c r="E629" s="1"/>
    </row>
    <row r="630" spans="5:5" ht="14.25" customHeight="1" x14ac:dyDescent="0.25">
      <c r="E630" s="1"/>
    </row>
    <row r="631" spans="5:5" ht="14.25" customHeight="1" x14ac:dyDescent="0.25">
      <c r="E631" s="1"/>
    </row>
    <row r="632" spans="5:5" ht="14.25" customHeight="1" x14ac:dyDescent="0.25">
      <c r="E632" s="1"/>
    </row>
    <row r="633" spans="5:5" ht="14.25" customHeight="1" x14ac:dyDescent="0.25">
      <c r="E633" s="1"/>
    </row>
    <row r="634" spans="5:5" ht="14.25" customHeight="1" x14ac:dyDescent="0.25">
      <c r="E634" s="1"/>
    </row>
    <row r="635" spans="5:5" ht="14.25" customHeight="1" x14ac:dyDescent="0.25">
      <c r="E635" s="1"/>
    </row>
    <row r="636" spans="5:5" ht="14.25" customHeight="1" x14ac:dyDescent="0.25">
      <c r="E636" s="1"/>
    </row>
    <row r="637" spans="5:5" ht="14.25" customHeight="1" x14ac:dyDescent="0.25">
      <c r="E637" s="1"/>
    </row>
    <row r="638" spans="5:5" ht="14.25" customHeight="1" x14ac:dyDescent="0.25">
      <c r="E638" s="1"/>
    </row>
    <row r="639" spans="5:5" ht="14.25" customHeight="1" x14ac:dyDescent="0.25">
      <c r="E639" s="1"/>
    </row>
    <row r="640" spans="5:5" ht="14.25" customHeight="1" x14ac:dyDescent="0.25">
      <c r="E640" s="1"/>
    </row>
    <row r="641" spans="5:5" ht="14.25" customHeight="1" x14ac:dyDescent="0.25">
      <c r="E641" s="1"/>
    </row>
    <row r="642" spans="5:5" ht="14.25" customHeight="1" x14ac:dyDescent="0.25">
      <c r="E642" s="1"/>
    </row>
    <row r="643" spans="5:5" ht="14.25" customHeight="1" x14ac:dyDescent="0.25">
      <c r="E643" s="1"/>
    </row>
    <row r="644" spans="5:5" ht="14.25" customHeight="1" x14ac:dyDescent="0.25">
      <c r="E644" s="1"/>
    </row>
    <row r="645" spans="5:5" ht="14.25" customHeight="1" x14ac:dyDescent="0.25">
      <c r="E645" s="1"/>
    </row>
    <row r="646" spans="5:5" ht="14.25" customHeight="1" x14ac:dyDescent="0.25">
      <c r="E646" s="1"/>
    </row>
    <row r="647" spans="5:5" ht="14.25" customHeight="1" x14ac:dyDescent="0.25">
      <c r="E647" s="1"/>
    </row>
    <row r="648" spans="5:5" ht="14.25" customHeight="1" x14ac:dyDescent="0.25">
      <c r="E648" s="1"/>
    </row>
    <row r="649" spans="5:5" ht="14.25" customHeight="1" x14ac:dyDescent="0.25">
      <c r="E649" s="1"/>
    </row>
    <row r="650" spans="5:5" ht="14.25" customHeight="1" x14ac:dyDescent="0.25">
      <c r="E650" s="1"/>
    </row>
    <row r="651" spans="5:5" ht="14.25" customHeight="1" x14ac:dyDescent="0.25">
      <c r="E651" s="1"/>
    </row>
    <row r="652" spans="5:5" ht="14.25" customHeight="1" x14ac:dyDescent="0.25">
      <c r="E652" s="1"/>
    </row>
    <row r="653" spans="5:5" ht="14.25" customHeight="1" x14ac:dyDescent="0.25">
      <c r="E653" s="1"/>
    </row>
    <row r="654" spans="5:5" ht="14.25" customHeight="1" x14ac:dyDescent="0.25">
      <c r="E654" s="1"/>
    </row>
    <row r="655" spans="5:5" ht="14.25" customHeight="1" x14ac:dyDescent="0.25">
      <c r="E655" s="1"/>
    </row>
    <row r="656" spans="5:5" ht="14.25" customHeight="1" x14ac:dyDescent="0.25">
      <c r="E656" s="1"/>
    </row>
    <row r="657" spans="5:5" ht="14.25" customHeight="1" x14ac:dyDescent="0.25">
      <c r="E657" s="1"/>
    </row>
    <row r="658" spans="5:5" ht="14.25" customHeight="1" x14ac:dyDescent="0.25">
      <c r="E658" s="1"/>
    </row>
    <row r="659" spans="5:5" ht="14.25" customHeight="1" x14ac:dyDescent="0.25">
      <c r="E659" s="1"/>
    </row>
    <row r="660" spans="5:5" ht="14.25" customHeight="1" x14ac:dyDescent="0.25">
      <c r="E660" s="1"/>
    </row>
    <row r="661" spans="5:5" ht="14.25" customHeight="1" x14ac:dyDescent="0.25">
      <c r="E661" s="1"/>
    </row>
    <row r="662" spans="5:5" ht="14.25" customHeight="1" x14ac:dyDescent="0.25">
      <c r="E662" s="1"/>
    </row>
    <row r="663" spans="5:5" ht="14.25" customHeight="1" x14ac:dyDescent="0.25">
      <c r="E663" s="1"/>
    </row>
    <row r="664" spans="5:5" ht="14.25" customHeight="1" x14ac:dyDescent="0.25">
      <c r="E664" s="1"/>
    </row>
    <row r="665" spans="5:5" ht="14.25" customHeight="1" x14ac:dyDescent="0.25">
      <c r="E665" s="1"/>
    </row>
    <row r="666" spans="5:5" ht="14.25" customHeight="1" x14ac:dyDescent="0.25">
      <c r="E666" s="1"/>
    </row>
    <row r="667" spans="5:5" ht="14.25" customHeight="1" x14ac:dyDescent="0.25">
      <c r="E667" s="1"/>
    </row>
    <row r="668" spans="5:5" ht="14.25" customHeight="1" x14ac:dyDescent="0.25">
      <c r="E668" s="1"/>
    </row>
    <row r="669" spans="5:5" ht="14.25" customHeight="1" x14ac:dyDescent="0.25">
      <c r="E669" s="1"/>
    </row>
    <row r="670" spans="5:5" ht="14.25" customHeight="1" x14ac:dyDescent="0.25">
      <c r="E670" s="1"/>
    </row>
    <row r="671" spans="5:5" ht="14.25" customHeight="1" x14ac:dyDescent="0.25">
      <c r="E671" s="1"/>
    </row>
    <row r="672" spans="5:5" ht="14.25" customHeight="1" x14ac:dyDescent="0.25">
      <c r="E672" s="1"/>
    </row>
    <row r="673" spans="5:5" ht="14.25" customHeight="1" x14ac:dyDescent="0.25">
      <c r="E673" s="1"/>
    </row>
    <row r="674" spans="5:5" ht="14.25" customHeight="1" x14ac:dyDescent="0.25">
      <c r="E674" s="1"/>
    </row>
    <row r="675" spans="5:5" ht="14.25" customHeight="1" x14ac:dyDescent="0.25">
      <c r="E675" s="1"/>
    </row>
    <row r="676" spans="5:5" ht="14.25" customHeight="1" x14ac:dyDescent="0.25">
      <c r="E676" s="1"/>
    </row>
    <row r="677" spans="5:5" ht="14.25" customHeight="1" x14ac:dyDescent="0.25">
      <c r="E677" s="1"/>
    </row>
    <row r="678" spans="5:5" ht="14.25" customHeight="1" x14ac:dyDescent="0.25">
      <c r="E678" s="1"/>
    </row>
    <row r="679" spans="5:5" ht="14.25" customHeight="1" x14ac:dyDescent="0.25">
      <c r="E679" s="1"/>
    </row>
    <row r="680" spans="5:5" ht="14.25" customHeight="1" x14ac:dyDescent="0.25">
      <c r="E680" s="1"/>
    </row>
    <row r="681" spans="5:5" ht="14.25" customHeight="1" x14ac:dyDescent="0.25">
      <c r="E681" s="1"/>
    </row>
    <row r="682" spans="5:5" ht="14.25" customHeight="1" x14ac:dyDescent="0.25">
      <c r="E682" s="1"/>
    </row>
    <row r="683" spans="5:5" ht="14.25" customHeight="1" x14ac:dyDescent="0.25">
      <c r="E683" s="1"/>
    </row>
    <row r="684" spans="5:5" ht="14.25" customHeight="1" x14ac:dyDescent="0.25">
      <c r="E684" s="1"/>
    </row>
    <row r="685" spans="5:5" ht="14.25" customHeight="1" x14ac:dyDescent="0.25">
      <c r="E685" s="1"/>
    </row>
    <row r="686" spans="5:5" ht="14.25" customHeight="1" x14ac:dyDescent="0.25">
      <c r="E686" s="1"/>
    </row>
    <row r="687" spans="5:5" ht="14.25" customHeight="1" x14ac:dyDescent="0.25">
      <c r="E687" s="1"/>
    </row>
    <row r="688" spans="5:5" ht="14.25" customHeight="1" x14ac:dyDescent="0.25">
      <c r="E688" s="1"/>
    </row>
    <row r="689" spans="5:5" ht="14.25" customHeight="1" x14ac:dyDescent="0.25">
      <c r="E689" s="1"/>
    </row>
    <row r="690" spans="5:5" ht="14.25" customHeight="1" x14ac:dyDescent="0.25">
      <c r="E690" s="1"/>
    </row>
    <row r="691" spans="5:5" ht="14.25" customHeight="1" x14ac:dyDescent="0.25">
      <c r="E691" s="1"/>
    </row>
    <row r="692" spans="5:5" ht="14.25" customHeight="1" x14ac:dyDescent="0.25">
      <c r="E692" s="1"/>
    </row>
    <row r="693" spans="5:5" ht="14.25" customHeight="1" x14ac:dyDescent="0.25">
      <c r="E693" s="1"/>
    </row>
    <row r="694" spans="5:5" ht="14.25" customHeight="1" x14ac:dyDescent="0.25">
      <c r="E694" s="1"/>
    </row>
    <row r="695" spans="5:5" ht="14.25" customHeight="1" x14ac:dyDescent="0.25">
      <c r="E695" s="1"/>
    </row>
    <row r="696" spans="5:5" ht="14.25" customHeight="1" x14ac:dyDescent="0.25">
      <c r="E696" s="1"/>
    </row>
    <row r="697" spans="5:5" ht="14.25" customHeight="1" x14ac:dyDescent="0.25">
      <c r="E697" s="1"/>
    </row>
    <row r="698" spans="5:5" ht="14.25" customHeight="1" x14ac:dyDescent="0.25">
      <c r="E698" s="1"/>
    </row>
    <row r="699" spans="5:5" ht="14.25" customHeight="1" x14ac:dyDescent="0.25">
      <c r="E699" s="1"/>
    </row>
    <row r="700" spans="5:5" ht="14.25" customHeight="1" x14ac:dyDescent="0.25">
      <c r="E700" s="1"/>
    </row>
    <row r="701" spans="5:5" ht="14.25" customHeight="1" x14ac:dyDescent="0.25">
      <c r="E701" s="1"/>
    </row>
    <row r="702" spans="5:5" ht="14.25" customHeight="1" x14ac:dyDescent="0.25">
      <c r="E702" s="1"/>
    </row>
    <row r="703" spans="5:5" ht="14.25" customHeight="1" x14ac:dyDescent="0.25">
      <c r="E703" s="1"/>
    </row>
    <row r="704" spans="5:5" ht="14.25" customHeight="1" x14ac:dyDescent="0.25">
      <c r="E704" s="1"/>
    </row>
    <row r="705" spans="5:5" ht="14.25" customHeight="1" x14ac:dyDescent="0.25">
      <c r="E705" s="1"/>
    </row>
    <row r="706" spans="5:5" ht="14.25" customHeight="1" x14ac:dyDescent="0.25">
      <c r="E706" s="1"/>
    </row>
    <row r="707" spans="5:5" ht="14.25" customHeight="1" x14ac:dyDescent="0.25">
      <c r="E707" s="1"/>
    </row>
    <row r="708" spans="5:5" ht="14.25" customHeight="1" x14ac:dyDescent="0.25">
      <c r="E708" s="1"/>
    </row>
    <row r="709" spans="5:5" ht="14.25" customHeight="1" x14ac:dyDescent="0.25">
      <c r="E709" s="1"/>
    </row>
    <row r="710" spans="5:5" ht="14.25" customHeight="1" x14ac:dyDescent="0.25">
      <c r="E710" s="1"/>
    </row>
    <row r="711" spans="5:5" ht="14.25" customHeight="1" x14ac:dyDescent="0.25">
      <c r="E711" s="1"/>
    </row>
    <row r="712" spans="5:5" ht="14.25" customHeight="1" x14ac:dyDescent="0.25">
      <c r="E712" s="1"/>
    </row>
    <row r="713" spans="5:5" ht="14.25" customHeight="1" x14ac:dyDescent="0.25">
      <c r="E713" s="1"/>
    </row>
    <row r="714" spans="5:5" ht="14.25" customHeight="1" x14ac:dyDescent="0.25">
      <c r="E714" s="1"/>
    </row>
    <row r="715" spans="5:5" ht="14.25" customHeight="1" x14ac:dyDescent="0.25">
      <c r="E715" s="1"/>
    </row>
    <row r="716" spans="5:5" ht="14.25" customHeight="1" x14ac:dyDescent="0.25">
      <c r="E716" s="1"/>
    </row>
    <row r="717" spans="5:5" ht="14.25" customHeight="1" x14ac:dyDescent="0.25">
      <c r="E717" s="1"/>
    </row>
    <row r="718" spans="5:5" ht="14.25" customHeight="1" x14ac:dyDescent="0.25">
      <c r="E718" s="1"/>
    </row>
    <row r="719" spans="5:5" ht="14.25" customHeight="1" x14ac:dyDescent="0.25">
      <c r="E719" s="1"/>
    </row>
    <row r="720" spans="5:5" ht="14.25" customHeight="1" x14ac:dyDescent="0.25">
      <c r="E720" s="1"/>
    </row>
    <row r="721" spans="5:5" ht="14.25" customHeight="1" x14ac:dyDescent="0.25">
      <c r="E721" s="1"/>
    </row>
    <row r="722" spans="5:5" ht="14.25" customHeight="1" x14ac:dyDescent="0.25">
      <c r="E722" s="1"/>
    </row>
    <row r="723" spans="5:5" ht="14.25" customHeight="1" x14ac:dyDescent="0.25">
      <c r="E723" s="1"/>
    </row>
    <row r="724" spans="5:5" ht="14.25" customHeight="1" x14ac:dyDescent="0.25">
      <c r="E724" s="1"/>
    </row>
    <row r="725" spans="5:5" ht="14.25" customHeight="1" x14ac:dyDescent="0.25">
      <c r="E725" s="1"/>
    </row>
    <row r="726" spans="5:5" ht="14.25" customHeight="1" x14ac:dyDescent="0.25">
      <c r="E726" s="1"/>
    </row>
    <row r="727" spans="5:5" ht="14.25" customHeight="1" x14ac:dyDescent="0.25">
      <c r="E727" s="1"/>
    </row>
    <row r="728" spans="5:5" ht="14.25" customHeight="1" x14ac:dyDescent="0.25">
      <c r="E728" s="1"/>
    </row>
    <row r="729" spans="5:5" ht="14.25" customHeight="1" x14ac:dyDescent="0.25">
      <c r="E729" s="1"/>
    </row>
    <row r="730" spans="5:5" ht="14.25" customHeight="1" x14ac:dyDescent="0.25">
      <c r="E730" s="1"/>
    </row>
    <row r="731" spans="5:5" ht="14.25" customHeight="1" x14ac:dyDescent="0.25">
      <c r="E731" s="1"/>
    </row>
    <row r="732" spans="5:5" ht="14.25" customHeight="1" x14ac:dyDescent="0.25">
      <c r="E732" s="1"/>
    </row>
    <row r="733" spans="5:5" ht="14.25" customHeight="1" x14ac:dyDescent="0.25">
      <c r="E733" s="1"/>
    </row>
    <row r="734" spans="5:5" ht="14.25" customHeight="1" x14ac:dyDescent="0.25">
      <c r="E734" s="1"/>
    </row>
    <row r="735" spans="5:5" ht="14.25" customHeight="1" x14ac:dyDescent="0.25">
      <c r="E735" s="1"/>
    </row>
    <row r="736" spans="5:5" ht="14.25" customHeight="1" x14ac:dyDescent="0.25">
      <c r="E736" s="1"/>
    </row>
    <row r="737" spans="5:5" ht="14.25" customHeight="1" x14ac:dyDescent="0.25">
      <c r="E737" s="1"/>
    </row>
    <row r="738" spans="5:5" ht="14.25" customHeight="1" x14ac:dyDescent="0.25">
      <c r="E738" s="1"/>
    </row>
    <row r="739" spans="5:5" ht="14.25" customHeight="1" x14ac:dyDescent="0.25">
      <c r="E739" s="1"/>
    </row>
    <row r="740" spans="5:5" ht="14.25" customHeight="1" x14ac:dyDescent="0.25">
      <c r="E740" s="1"/>
    </row>
    <row r="741" spans="5:5" ht="14.25" customHeight="1" x14ac:dyDescent="0.25">
      <c r="E741" s="1"/>
    </row>
    <row r="742" spans="5:5" ht="14.25" customHeight="1" x14ac:dyDescent="0.25">
      <c r="E742" s="1"/>
    </row>
    <row r="743" spans="5:5" ht="14.25" customHeight="1" x14ac:dyDescent="0.25">
      <c r="E743" s="1"/>
    </row>
    <row r="744" spans="5:5" ht="14.25" customHeight="1" x14ac:dyDescent="0.25">
      <c r="E744" s="1"/>
    </row>
    <row r="745" spans="5:5" ht="14.25" customHeight="1" x14ac:dyDescent="0.25">
      <c r="E745" s="1"/>
    </row>
    <row r="746" spans="5:5" ht="14.25" customHeight="1" x14ac:dyDescent="0.25">
      <c r="E746" s="1"/>
    </row>
    <row r="747" spans="5:5" ht="14.25" customHeight="1" x14ac:dyDescent="0.25">
      <c r="E747" s="1"/>
    </row>
    <row r="748" spans="5:5" ht="14.25" customHeight="1" x14ac:dyDescent="0.25">
      <c r="E748" s="1"/>
    </row>
    <row r="749" spans="5:5" ht="14.25" customHeight="1" x14ac:dyDescent="0.25">
      <c r="E749" s="1"/>
    </row>
    <row r="750" spans="5:5" ht="14.25" customHeight="1" x14ac:dyDescent="0.25">
      <c r="E750" s="1"/>
    </row>
    <row r="751" spans="5:5" ht="14.25" customHeight="1" x14ac:dyDescent="0.25">
      <c r="E751" s="1"/>
    </row>
    <row r="752" spans="5:5" ht="14.25" customHeight="1" x14ac:dyDescent="0.25">
      <c r="E752" s="1"/>
    </row>
    <row r="753" spans="5:5" ht="14.25" customHeight="1" x14ac:dyDescent="0.25">
      <c r="E753" s="1"/>
    </row>
    <row r="754" spans="5:5" ht="14.25" customHeight="1" x14ac:dyDescent="0.25">
      <c r="E754" s="1"/>
    </row>
    <row r="755" spans="5:5" ht="14.25" customHeight="1" x14ac:dyDescent="0.25">
      <c r="E755" s="1"/>
    </row>
    <row r="756" spans="5:5" ht="14.25" customHeight="1" x14ac:dyDescent="0.25">
      <c r="E756" s="1"/>
    </row>
    <row r="757" spans="5:5" ht="14.25" customHeight="1" x14ac:dyDescent="0.25">
      <c r="E757" s="1"/>
    </row>
    <row r="758" spans="5:5" ht="14.25" customHeight="1" x14ac:dyDescent="0.25">
      <c r="E758" s="1"/>
    </row>
    <row r="759" spans="5:5" ht="14.25" customHeight="1" x14ac:dyDescent="0.25">
      <c r="E759" s="1"/>
    </row>
    <row r="760" spans="5:5" ht="14.25" customHeight="1" x14ac:dyDescent="0.25">
      <c r="E760" s="1"/>
    </row>
    <row r="761" spans="5:5" ht="14.25" customHeight="1" x14ac:dyDescent="0.25">
      <c r="E761" s="1"/>
    </row>
    <row r="762" spans="5:5" ht="14.25" customHeight="1" x14ac:dyDescent="0.25">
      <c r="E762" s="1"/>
    </row>
    <row r="763" spans="5:5" ht="14.25" customHeight="1" x14ac:dyDescent="0.25">
      <c r="E763" s="1"/>
    </row>
    <row r="764" spans="5:5" ht="14.25" customHeight="1" x14ac:dyDescent="0.25">
      <c r="E764" s="1"/>
    </row>
    <row r="765" spans="5:5" ht="14.25" customHeight="1" x14ac:dyDescent="0.25">
      <c r="E765" s="1"/>
    </row>
    <row r="766" spans="5:5" ht="14.25" customHeight="1" x14ac:dyDescent="0.25">
      <c r="E766" s="1"/>
    </row>
    <row r="767" spans="5:5" ht="14.25" customHeight="1" x14ac:dyDescent="0.25">
      <c r="E767" s="1"/>
    </row>
    <row r="768" spans="5:5" ht="14.25" customHeight="1" x14ac:dyDescent="0.25">
      <c r="E768" s="1"/>
    </row>
    <row r="769" spans="5:5" ht="14.25" customHeight="1" x14ac:dyDescent="0.25">
      <c r="E769" s="1"/>
    </row>
    <row r="770" spans="5:5" ht="14.25" customHeight="1" x14ac:dyDescent="0.25">
      <c r="E770" s="1"/>
    </row>
    <row r="771" spans="5:5" ht="14.25" customHeight="1" x14ac:dyDescent="0.25">
      <c r="E771" s="1"/>
    </row>
    <row r="772" spans="5:5" ht="14.25" customHeight="1" x14ac:dyDescent="0.25">
      <c r="E772" s="1"/>
    </row>
    <row r="773" spans="5:5" ht="14.25" customHeight="1" x14ac:dyDescent="0.25">
      <c r="E773" s="1"/>
    </row>
    <row r="774" spans="5:5" ht="14.25" customHeight="1" x14ac:dyDescent="0.25">
      <c r="E774" s="1"/>
    </row>
    <row r="775" spans="5:5" ht="14.25" customHeight="1" x14ac:dyDescent="0.25">
      <c r="E775" s="1"/>
    </row>
    <row r="776" spans="5:5" ht="14.25" customHeight="1" x14ac:dyDescent="0.25">
      <c r="E776" s="1"/>
    </row>
    <row r="777" spans="5:5" ht="14.25" customHeight="1" x14ac:dyDescent="0.25">
      <c r="E777" s="1"/>
    </row>
    <row r="778" spans="5:5" ht="14.25" customHeight="1" x14ac:dyDescent="0.25">
      <c r="E778" s="1"/>
    </row>
    <row r="779" spans="5:5" ht="14.25" customHeight="1" x14ac:dyDescent="0.25">
      <c r="E779" s="1"/>
    </row>
    <row r="780" spans="5:5" ht="14.25" customHeight="1" x14ac:dyDescent="0.25">
      <c r="E780" s="1"/>
    </row>
    <row r="781" spans="5:5" ht="14.25" customHeight="1" x14ac:dyDescent="0.25">
      <c r="E781" s="1"/>
    </row>
    <row r="782" spans="5:5" ht="14.25" customHeight="1" x14ac:dyDescent="0.25">
      <c r="E782" s="1"/>
    </row>
    <row r="783" spans="5:5" ht="14.25" customHeight="1" x14ac:dyDescent="0.25">
      <c r="E783" s="1"/>
    </row>
    <row r="784" spans="5:5" ht="14.25" customHeight="1" x14ac:dyDescent="0.25">
      <c r="E784" s="1"/>
    </row>
    <row r="785" spans="5:5" ht="14.25" customHeight="1" x14ac:dyDescent="0.25">
      <c r="E785" s="1"/>
    </row>
    <row r="786" spans="5:5" ht="14.25" customHeight="1" x14ac:dyDescent="0.25">
      <c r="E786" s="1"/>
    </row>
    <row r="787" spans="5:5" ht="14.25" customHeight="1" x14ac:dyDescent="0.25">
      <c r="E787" s="1"/>
    </row>
    <row r="788" spans="5:5" ht="14.25" customHeight="1" x14ac:dyDescent="0.25">
      <c r="E788" s="1"/>
    </row>
    <row r="789" spans="5:5" ht="14.25" customHeight="1" x14ac:dyDescent="0.25">
      <c r="E789" s="1"/>
    </row>
    <row r="790" spans="5:5" ht="14.25" customHeight="1" x14ac:dyDescent="0.25">
      <c r="E790" s="1"/>
    </row>
    <row r="791" spans="5:5" ht="14.25" customHeight="1" x14ac:dyDescent="0.25">
      <c r="E791" s="1"/>
    </row>
    <row r="792" spans="5:5" ht="14.25" customHeight="1" x14ac:dyDescent="0.25">
      <c r="E792" s="1"/>
    </row>
    <row r="793" spans="5:5" ht="14.25" customHeight="1" x14ac:dyDescent="0.25">
      <c r="E793" s="1"/>
    </row>
    <row r="794" spans="5:5" ht="14.25" customHeight="1" x14ac:dyDescent="0.25">
      <c r="E794" s="1"/>
    </row>
    <row r="795" spans="5:5" ht="14.25" customHeight="1" x14ac:dyDescent="0.25">
      <c r="E795" s="1"/>
    </row>
    <row r="796" spans="5:5" ht="14.25" customHeight="1" x14ac:dyDescent="0.25">
      <c r="E796" s="1"/>
    </row>
    <row r="797" spans="5:5" ht="14.25" customHeight="1" x14ac:dyDescent="0.25">
      <c r="E797" s="1"/>
    </row>
    <row r="798" spans="5:5" ht="14.25" customHeight="1" x14ac:dyDescent="0.25">
      <c r="E798" s="1"/>
    </row>
    <row r="799" spans="5:5" ht="14.25" customHeight="1" x14ac:dyDescent="0.25">
      <c r="E799" s="1"/>
    </row>
    <row r="800" spans="5:5" ht="14.25" customHeight="1" x14ac:dyDescent="0.25">
      <c r="E800" s="1"/>
    </row>
    <row r="801" spans="5:5" ht="14.25" customHeight="1" x14ac:dyDescent="0.25">
      <c r="E801" s="1"/>
    </row>
    <row r="802" spans="5:5" ht="14.25" customHeight="1" x14ac:dyDescent="0.25">
      <c r="E802" s="1"/>
    </row>
    <row r="803" spans="5:5" ht="14.25" customHeight="1" x14ac:dyDescent="0.25">
      <c r="E803" s="1"/>
    </row>
    <row r="804" spans="5:5" ht="14.25" customHeight="1" x14ac:dyDescent="0.25">
      <c r="E804" s="1"/>
    </row>
    <row r="805" spans="5:5" ht="14.25" customHeight="1" x14ac:dyDescent="0.25">
      <c r="E805" s="1"/>
    </row>
    <row r="806" spans="5:5" ht="14.25" customHeight="1" x14ac:dyDescent="0.25">
      <c r="E806" s="1"/>
    </row>
    <row r="807" spans="5:5" ht="14.25" customHeight="1" x14ac:dyDescent="0.25">
      <c r="E807" s="1"/>
    </row>
    <row r="808" spans="5:5" ht="14.25" customHeight="1" x14ac:dyDescent="0.25">
      <c r="E808" s="1"/>
    </row>
    <row r="809" spans="5:5" ht="14.25" customHeight="1" x14ac:dyDescent="0.25">
      <c r="E809" s="1"/>
    </row>
    <row r="810" spans="5:5" ht="14.25" customHeight="1" x14ac:dyDescent="0.25">
      <c r="E810" s="1"/>
    </row>
    <row r="811" spans="5:5" ht="14.25" customHeight="1" x14ac:dyDescent="0.25">
      <c r="E811" s="1"/>
    </row>
    <row r="812" spans="5:5" ht="14.25" customHeight="1" x14ac:dyDescent="0.25">
      <c r="E812" s="1"/>
    </row>
    <row r="813" spans="5:5" ht="14.25" customHeight="1" x14ac:dyDescent="0.25">
      <c r="E813" s="1"/>
    </row>
    <row r="814" spans="5:5" ht="14.25" customHeight="1" x14ac:dyDescent="0.25">
      <c r="E814" s="1"/>
    </row>
    <row r="815" spans="5:5" ht="14.25" customHeight="1" x14ac:dyDescent="0.25">
      <c r="E815" s="1"/>
    </row>
    <row r="816" spans="5:5" ht="14.25" customHeight="1" x14ac:dyDescent="0.25">
      <c r="E816" s="1"/>
    </row>
    <row r="817" spans="5:5" ht="14.25" customHeight="1" x14ac:dyDescent="0.25">
      <c r="E817" s="1"/>
    </row>
    <row r="818" spans="5:5" ht="14.25" customHeight="1" x14ac:dyDescent="0.25">
      <c r="E818" s="1"/>
    </row>
    <row r="819" spans="5:5" ht="14.25" customHeight="1" x14ac:dyDescent="0.25">
      <c r="E819" s="1"/>
    </row>
    <row r="820" spans="5:5" ht="14.25" customHeight="1" x14ac:dyDescent="0.25">
      <c r="E820" s="1"/>
    </row>
    <row r="821" spans="5:5" ht="14.25" customHeight="1" x14ac:dyDescent="0.25">
      <c r="E821" s="1"/>
    </row>
    <row r="822" spans="5:5" ht="14.25" customHeight="1" x14ac:dyDescent="0.25">
      <c r="E822" s="1"/>
    </row>
    <row r="823" spans="5:5" ht="14.25" customHeight="1" x14ac:dyDescent="0.25">
      <c r="E823" s="1"/>
    </row>
    <row r="824" spans="5:5" ht="14.25" customHeight="1" x14ac:dyDescent="0.25">
      <c r="E824" s="1"/>
    </row>
    <row r="825" spans="5:5" ht="14.25" customHeight="1" x14ac:dyDescent="0.25">
      <c r="E825" s="1"/>
    </row>
    <row r="826" spans="5:5" ht="14.25" customHeight="1" x14ac:dyDescent="0.25">
      <c r="E826" s="1"/>
    </row>
    <row r="827" spans="5:5" ht="14.25" customHeight="1" x14ac:dyDescent="0.25">
      <c r="E827" s="1"/>
    </row>
    <row r="828" spans="5:5" ht="14.25" customHeight="1" x14ac:dyDescent="0.25">
      <c r="E828" s="1"/>
    </row>
    <row r="829" spans="5:5" ht="14.25" customHeight="1" x14ac:dyDescent="0.25">
      <c r="E829" s="1"/>
    </row>
    <row r="830" spans="5:5" ht="14.25" customHeight="1" x14ac:dyDescent="0.25">
      <c r="E830" s="1"/>
    </row>
    <row r="831" spans="5:5" ht="14.25" customHeight="1" x14ac:dyDescent="0.25">
      <c r="E831" s="1"/>
    </row>
    <row r="832" spans="5:5" ht="14.25" customHeight="1" x14ac:dyDescent="0.25">
      <c r="E832" s="1"/>
    </row>
    <row r="833" spans="5:5" ht="14.25" customHeight="1" x14ac:dyDescent="0.25">
      <c r="E833" s="1"/>
    </row>
    <row r="834" spans="5:5" ht="14.25" customHeight="1" x14ac:dyDescent="0.25">
      <c r="E834" s="1"/>
    </row>
    <row r="835" spans="5:5" ht="14.25" customHeight="1" x14ac:dyDescent="0.25">
      <c r="E835" s="1"/>
    </row>
    <row r="836" spans="5:5" ht="14.25" customHeight="1" x14ac:dyDescent="0.25">
      <c r="E836" s="1"/>
    </row>
    <row r="837" spans="5:5" ht="14.25" customHeight="1" x14ac:dyDescent="0.25">
      <c r="E837" s="1"/>
    </row>
    <row r="838" spans="5:5" ht="14.25" customHeight="1" x14ac:dyDescent="0.25">
      <c r="E838" s="1"/>
    </row>
    <row r="839" spans="5:5" ht="14.25" customHeight="1" x14ac:dyDescent="0.25">
      <c r="E839" s="1"/>
    </row>
    <row r="840" spans="5:5" ht="14.25" customHeight="1" x14ac:dyDescent="0.25">
      <c r="E840" s="1"/>
    </row>
    <row r="841" spans="5:5" ht="14.25" customHeight="1" x14ac:dyDescent="0.25">
      <c r="E841" s="1"/>
    </row>
    <row r="842" spans="5:5" ht="14.25" customHeight="1" x14ac:dyDescent="0.25">
      <c r="E842" s="1"/>
    </row>
    <row r="843" spans="5:5" ht="14.25" customHeight="1" x14ac:dyDescent="0.25">
      <c r="E843" s="1"/>
    </row>
    <row r="844" spans="5:5" ht="14.25" customHeight="1" x14ac:dyDescent="0.25">
      <c r="E844" s="1"/>
    </row>
    <row r="845" spans="5:5" ht="14.25" customHeight="1" x14ac:dyDescent="0.25">
      <c r="E845" s="1"/>
    </row>
    <row r="846" spans="5:5" ht="14.25" customHeight="1" x14ac:dyDescent="0.25">
      <c r="E846" s="1"/>
    </row>
    <row r="847" spans="5:5" ht="14.25" customHeight="1" x14ac:dyDescent="0.25">
      <c r="E847" s="1"/>
    </row>
    <row r="848" spans="5:5" ht="14.25" customHeight="1" x14ac:dyDescent="0.25">
      <c r="E848" s="1"/>
    </row>
    <row r="849" spans="5:5" ht="14.25" customHeight="1" x14ac:dyDescent="0.25">
      <c r="E849" s="1"/>
    </row>
    <row r="850" spans="5:5" ht="14.25" customHeight="1" x14ac:dyDescent="0.25">
      <c r="E850" s="1"/>
    </row>
    <row r="851" spans="5:5" ht="14.25" customHeight="1" x14ac:dyDescent="0.25">
      <c r="E851" s="1"/>
    </row>
    <row r="852" spans="5:5" ht="14.25" customHeight="1" x14ac:dyDescent="0.25">
      <c r="E852" s="1"/>
    </row>
    <row r="853" spans="5:5" ht="14.25" customHeight="1" x14ac:dyDescent="0.25">
      <c r="E853" s="1"/>
    </row>
    <row r="854" spans="5:5" ht="14.25" customHeight="1" x14ac:dyDescent="0.25">
      <c r="E854" s="1"/>
    </row>
    <row r="855" spans="5:5" ht="14.25" customHeight="1" x14ac:dyDescent="0.25">
      <c r="E855" s="1"/>
    </row>
    <row r="856" spans="5:5" ht="14.25" customHeight="1" x14ac:dyDescent="0.25">
      <c r="E856" s="1"/>
    </row>
    <row r="857" spans="5:5" ht="14.25" customHeight="1" x14ac:dyDescent="0.25">
      <c r="E857" s="1"/>
    </row>
    <row r="858" spans="5:5" ht="14.25" customHeight="1" x14ac:dyDescent="0.25">
      <c r="E858" s="1"/>
    </row>
    <row r="859" spans="5:5" ht="14.25" customHeight="1" x14ac:dyDescent="0.25">
      <c r="E859" s="1"/>
    </row>
    <row r="860" spans="5:5" ht="14.25" customHeight="1" x14ac:dyDescent="0.25">
      <c r="E860" s="1"/>
    </row>
    <row r="861" spans="5:5" ht="14.25" customHeight="1" x14ac:dyDescent="0.25">
      <c r="E861" s="1"/>
    </row>
    <row r="862" spans="5:5" ht="14.25" customHeight="1" x14ac:dyDescent="0.25">
      <c r="E862" s="1"/>
    </row>
    <row r="863" spans="5:5" ht="14.25" customHeight="1" x14ac:dyDescent="0.25">
      <c r="E863" s="1"/>
    </row>
    <row r="864" spans="5:5" ht="14.25" customHeight="1" x14ac:dyDescent="0.25">
      <c r="E864" s="1"/>
    </row>
    <row r="865" spans="5:5" ht="14.25" customHeight="1" x14ac:dyDescent="0.25">
      <c r="E865" s="1"/>
    </row>
    <row r="866" spans="5:5" ht="14.25" customHeight="1" x14ac:dyDescent="0.25">
      <c r="E866" s="1"/>
    </row>
    <row r="867" spans="5:5" ht="14.25" customHeight="1" x14ac:dyDescent="0.25">
      <c r="E867" s="1"/>
    </row>
    <row r="868" spans="5:5" ht="14.25" customHeight="1" x14ac:dyDescent="0.25">
      <c r="E868" s="1"/>
    </row>
    <row r="869" spans="5:5" ht="14.25" customHeight="1" x14ac:dyDescent="0.25">
      <c r="E869" s="1"/>
    </row>
    <row r="870" spans="5:5" ht="14.25" customHeight="1" x14ac:dyDescent="0.25">
      <c r="E870" s="1"/>
    </row>
    <row r="871" spans="5:5" ht="14.25" customHeight="1" x14ac:dyDescent="0.25">
      <c r="E871" s="1"/>
    </row>
    <row r="872" spans="5:5" ht="14.25" customHeight="1" x14ac:dyDescent="0.25">
      <c r="E872" s="1"/>
    </row>
    <row r="873" spans="5:5" ht="14.25" customHeight="1" x14ac:dyDescent="0.25">
      <c r="E873" s="1"/>
    </row>
    <row r="874" spans="5:5" ht="14.25" customHeight="1" x14ac:dyDescent="0.25">
      <c r="E874" s="1"/>
    </row>
    <row r="875" spans="5:5" ht="14.25" customHeight="1" x14ac:dyDescent="0.25">
      <c r="E875" s="1"/>
    </row>
    <row r="876" spans="5:5" ht="14.25" customHeight="1" x14ac:dyDescent="0.25">
      <c r="E876" s="1"/>
    </row>
    <row r="877" spans="5:5" ht="14.25" customHeight="1" x14ac:dyDescent="0.25">
      <c r="E877" s="1"/>
    </row>
    <row r="878" spans="5:5" ht="14.25" customHeight="1" x14ac:dyDescent="0.25">
      <c r="E878" s="1"/>
    </row>
    <row r="879" spans="5:5" ht="14.25" customHeight="1" x14ac:dyDescent="0.25">
      <c r="E879" s="1"/>
    </row>
    <row r="880" spans="5:5" ht="14.25" customHeight="1" x14ac:dyDescent="0.25">
      <c r="E880" s="1"/>
    </row>
    <row r="881" spans="5:5" ht="14.25" customHeight="1" x14ac:dyDescent="0.25">
      <c r="E881" s="1"/>
    </row>
    <row r="882" spans="5:5" ht="14.25" customHeight="1" x14ac:dyDescent="0.25">
      <c r="E882" s="1"/>
    </row>
    <row r="883" spans="5:5" ht="14.25" customHeight="1" x14ac:dyDescent="0.25">
      <c r="E883" s="1"/>
    </row>
    <row r="884" spans="5:5" ht="14.25" customHeight="1" x14ac:dyDescent="0.25">
      <c r="E884" s="1"/>
    </row>
    <row r="885" spans="5:5" ht="14.25" customHeight="1" x14ac:dyDescent="0.25">
      <c r="E885" s="1"/>
    </row>
    <row r="886" spans="5:5" ht="14.25" customHeight="1" x14ac:dyDescent="0.25">
      <c r="E886" s="1"/>
    </row>
    <row r="887" spans="5:5" ht="14.25" customHeight="1" x14ac:dyDescent="0.25">
      <c r="E887" s="1"/>
    </row>
    <row r="888" spans="5:5" ht="14.25" customHeight="1" x14ac:dyDescent="0.25">
      <c r="E888" s="1"/>
    </row>
    <row r="889" spans="5:5" ht="14.25" customHeight="1" x14ac:dyDescent="0.25">
      <c r="E889" s="1"/>
    </row>
    <row r="890" spans="5:5" ht="14.25" customHeight="1" x14ac:dyDescent="0.25">
      <c r="E890" s="1"/>
    </row>
    <row r="891" spans="5:5" ht="14.25" customHeight="1" x14ac:dyDescent="0.25">
      <c r="E891" s="1"/>
    </row>
    <row r="892" spans="5:5" ht="14.25" customHeight="1" x14ac:dyDescent="0.25">
      <c r="E892" s="1"/>
    </row>
    <row r="893" spans="5:5" ht="14.25" customHeight="1" x14ac:dyDescent="0.25">
      <c r="E893" s="1"/>
    </row>
    <row r="894" spans="5:5" ht="14.25" customHeight="1" x14ac:dyDescent="0.25">
      <c r="E894" s="1"/>
    </row>
    <row r="895" spans="5:5" ht="14.25" customHeight="1" x14ac:dyDescent="0.25">
      <c r="E895" s="1"/>
    </row>
    <row r="896" spans="5:5" ht="14.25" customHeight="1" x14ac:dyDescent="0.25">
      <c r="E896" s="1"/>
    </row>
    <row r="897" spans="5:5" ht="14.25" customHeight="1" x14ac:dyDescent="0.25">
      <c r="E897" s="1"/>
    </row>
    <row r="898" spans="5:5" ht="14.25" customHeight="1" x14ac:dyDescent="0.25">
      <c r="E898" s="1"/>
    </row>
    <row r="899" spans="5:5" ht="14.25" customHeight="1" x14ac:dyDescent="0.25">
      <c r="E899" s="1"/>
    </row>
    <row r="900" spans="5:5" ht="14.25" customHeight="1" x14ac:dyDescent="0.25">
      <c r="E900" s="1"/>
    </row>
    <row r="901" spans="5:5" ht="14.25" customHeight="1" x14ac:dyDescent="0.25">
      <c r="E901" s="1"/>
    </row>
    <row r="902" spans="5:5" ht="14.25" customHeight="1" x14ac:dyDescent="0.25">
      <c r="E902" s="1"/>
    </row>
    <row r="903" spans="5:5" ht="14.25" customHeight="1" x14ac:dyDescent="0.25">
      <c r="E903" s="1"/>
    </row>
    <row r="904" spans="5:5" ht="14.25" customHeight="1" x14ac:dyDescent="0.25">
      <c r="E904" s="1"/>
    </row>
    <row r="905" spans="5:5" ht="14.25" customHeight="1" x14ac:dyDescent="0.25">
      <c r="E905" s="1"/>
    </row>
    <row r="906" spans="5:5" ht="14.25" customHeight="1" x14ac:dyDescent="0.25">
      <c r="E906" s="1"/>
    </row>
    <row r="907" spans="5:5" ht="14.25" customHeight="1" x14ac:dyDescent="0.25">
      <c r="E907" s="1"/>
    </row>
    <row r="908" spans="5:5" ht="14.25" customHeight="1" x14ac:dyDescent="0.25">
      <c r="E908" s="1"/>
    </row>
    <row r="909" spans="5:5" ht="14.25" customHeight="1" x14ac:dyDescent="0.25">
      <c r="E909" s="1"/>
    </row>
    <row r="910" spans="5:5" ht="14.25" customHeight="1" x14ac:dyDescent="0.25">
      <c r="E910" s="1"/>
    </row>
    <row r="911" spans="5:5" ht="14.25" customHeight="1" x14ac:dyDescent="0.25">
      <c r="E911" s="1"/>
    </row>
    <row r="912" spans="5:5" ht="14.25" customHeight="1" x14ac:dyDescent="0.25">
      <c r="E912" s="1"/>
    </row>
    <row r="913" spans="5:5" ht="14.25" customHeight="1" x14ac:dyDescent="0.25">
      <c r="E913" s="1"/>
    </row>
    <row r="914" spans="5:5" ht="14.25" customHeight="1" x14ac:dyDescent="0.25">
      <c r="E914" s="1"/>
    </row>
    <row r="915" spans="5:5" ht="14.25" customHeight="1" x14ac:dyDescent="0.25">
      <c r="E915" s="1"/>
    </row>
    <row r="916" spans="5:5" ht="14.25" customHeight="1" x14ac:dyDescent="0.25">
      <c r="E916" s="1"/>
    </row>
    <row r="917" spans="5:5" ht="14.25" customHeight="1" x14ac:dyDescent="0.25">
      <c r="E917" s="1"/>
    </row>
    <row r="918" spans="5:5" ht="14.25" customHeight="1" x14ac:dyDescent="0.25">
      <c r="E918" s="1"/>
    </row>
    <row r="919" spans="5:5" ht="14.25" customHeight="1" x14ac:dyDescent="0.25">
      <c r="E919" s="1"/>
    </row>
    <row r="920" spans="5:5" ht="14.25" customHeight="1" x14ac:dyDescent="0.25">
      <c r="E920" s="1"/>
    </row>
    <row r="921" spans="5:5" ht="14.25" customHeight="1" x14ac:dyDescent="0.25">
      <c r="E921" s="1"/>
    </row>
    <row r="922" spans="5:5" ht="14.25" customHeight="1" x14ac:dyDescent="0.25">
      <c r="E922" s="1"/>
    </row>
    <row r="923" spans="5:5" ht="14.25" customHeight="1" x14ac:dyDescent="0.25">
      <c r="E923" s="1"/>
    </row>
    <row r="924" spans="5:5" ht="14.25" customHeight="1" x14ac:dyDescent="0.25">
      <c r="E924" s="1"/>
    </row>
    <row r="925" spans="5:5" ht="14.25" customHeight="1" x14ac:dyDescent="0.25">
      <c r="E925" s="1"/>
    </row>
    <row r="926" spans="5:5" ht="14.25" customHeight="1" x14ac:dyDescent="0.25">
      <c r="E926" s="1"/>
    </row>
    <row r="927" spans="5:5" ht="14.25" customHeight="1" x14ac:dyDescent="0.25">
      <c r="E927" s="1"/>
    </row>
    <row r="928" spans="5:5" ht="14.25" customHeight="1" x14ac:dyDescent="0.25">
      <c r="E928" s="1"/>
    </row>
    <row r="929" spans="5:5" ht="14.25" customHeight="1" x14ac:dyDescent="0.25">
      <c r="E929" s="1"/>
    </row>
    <row r="930" spans="5:5" ht="14.25" customHeight="1" x14ac:dyDescent="0.25">
      <c r="E930" s="1"/>
    </row>
    <row r="931" spans="5:5" ht="14.25" customHeight="1" x14ac:dyDescent="0.25">
      <c r="E931" s="1"/>
    </row>
    <row r="932" spans="5:5" ht="14.25" customHeight="1" x14ac:dyDescent="0.25">
      <c r="E932" s="1"/>
    </row>
    <row r="933" spans="5:5" ht="14.25" customHeight="1" x14ac:dyDescent="0.25">
      <c r="E933" s="1"/>
    </row>
    <row r="934" spans="5:5" ht="14.25" customHeight="1" x14ac:dyDescent="0.25">
      <c r="E934" s="1"/>
    </row>
    <row r="935" spans="5:5" ht="14.25" customHeight="1" x14ac:dyDescent="0.25">
      <c r="E935" s="1"/>
    </row>
    <row r="936" spans="5:5" ht="14.25" customHeight="1" x14ac:dyDescent="0.25">
      <c r="E936" s="1"/>
    </row>
    <row r="937" spans="5:5" ht="14.25" customHeight="1" x14ac:dyDescent="0.25">
      <c r="E937" s="1"/>
    </row>
    <row r="938" spans="5:5" ht="14.25" customHeight="1" x14ac:dyDescent="0.25">
      <c r="E938" s="1"/>
    </row>
    <row r="939" spans="5:5" ht="14.25" customHeight="1" x14ac:dyDescent="0.25">
      <c r="E939" s="1"/>
    </row>
    <row r="940" spans="5:5" ht="14.25" customHeight="1" x14ac:dyDescent="0.25">
      <c r="E940" s="1"/>
    </row>
    <row r="941" spans="5:5" ht="14.25" customHeight="1" x14ac:dyDescent="0.25">
      <c r="E941" s="1"/>
    </row>
    <row r="942" spans="5:5" ht="14.25" customHeight="1" x14ac:dyDescent="0.25">
      <c r="E942" s="1"/>
    </row>
    <row r="943" spans="5:5" ht="14.25" customHeight="1" x14ac:dyDescent="0.25">
      <c r="E943" s="1"/>
    </row>
    <row r="944" spans="5:5" ht="14.25" customHeight="1" x14ac:dyDescent="0.25">
      <c r="E944" s="1"/>
    </row>
    <row r="945" spans="5:5" ht="14.25" customHeight="1" x14ac:dyDescent="0.25">
      <c r="E945" s="1"/>
    </row>
    <row r="946" spans="5:5" ht="14.25" customHeight="1" x14ac:dyDescent="0.25">
      <c r="E946" s="1"/>
    </row>
    <row r="947" spans="5:5" ht="14.25" customHeight="1" x14ac:dyDescent="0.25">
      <c r="E947" s="1"/>
    </row>
    <row r="948" spans="5:5" ht="14.25" customHeight="1" x14ac:dyDescent="0.25">
      <c r="E948" s="1"/>
    </row>
    <row r="949" spans="5:5" ht="14.25" customHeight="1" x14ac:dyDescent="0.25">
      <c r="E949" s="1"/>
    </row>
    <row r="950" spans="5:5" ht="14.25" customHeight="1" x14ac:dyDescent="0.25">
      <c r="E950" s="1"/>
    </row>
    <row r="951" spans="5:5" ht="14.25" customHeight="1" x14ac:dyDescent="0.25">
      <c r="E951" s="1"/>
    </row>
    <row r="952" spans="5:5" ht="14.25" customHeight="1" x14ac:dyDescent="0.25">
      <c r="E952" s="1"/>
    </row>
    <row r="953" spans="5:5" ht="14.25" customHeight="1" x14ac:dyDescent="0.25">
      <c r="E953" s="1"/>
    </row>
    <row r="954" spans="5:5" ht="14.25" customHeight="1" x14ac:dyDescent="0.25">
      <c r="E954" s="1"/>
    </row>
    <row r="955" spans="5:5" ht="14.25" customHeight="1" x14ac:dyDescent="0.25">
      <c r="E955" s="1"/>
    </row>
    <row r="956" spans="5:5" ht="14.25" customHeight="1" x14ac:dyDescent="0.25">
      <c r="E956" s="1"/>
    </row>
    <row r="957" spans="5:5" ht="14.25" customHeight="1" x14ac:dyDescent="0.25">
      <c r="E957" s="1"/>
    </row>
    <row r="958" spans="5:5" ht="14.25" customHeight="1" x14ac:dyDescent="0.25">
      <c r="E958" s="1"/>
    </row>
    <row r="959" spans="5:5" ht="14.25" customHeight="1" x14ac:dyDescent="0.25">
      <c r="E959" s="1"/>
    </row>
    <row r="960" spans="5:5" ht="14.25" customHeight="1" x14ac:dyDescent="0.25">
      <c r="E960" s="1"/>
    </row>
    <row r="961" spans="5:5" ht="14.25" customHeight="1" x14ac:dyDescent="0.25">
      <c r="E961" s="1"/>
    </row>
    <row r="962" spans="5:5" ht="14.25" customHeight="1" x14ac:dyDescent="0.25">
      <c r="E962" s="1"/>
    </row>
    <row r="963" spans="5:5" ht="14.25" customHeight="1" x14ac:dyDescent="0.25">
      <c r="E963" s="1"/>
    </row>
    <row r="964" spans="5:5" ht="14.25" customHeight="1" x14ac:dyDescent="0.25">
      <c r="E964" s="1"/>
    </row>
    <row r="965" spans="5:5" ht="14.25" customHeight="1" x14ac:dyDescent="0.25">
      <c r="E965" s="1"/>
    </row>
    <row r="966" spans="5:5" ht="14.25" customHeight="1" x14ac:dyDescent="0.25">
      <c r="E966" s="1"/>
    </row>
    <row r="967" spans="5:5" ht="14.25" customHeight="1" x14ac:dyDescent="0.25">
      <c r="E967" s="1"/>
    </row>
    <row r="968" spans="5:5" ht="14.25" customHeight="1" x14ac:dyDescent="0.25">
      <c r="E968" s="1"/>
    </row>
    <row r="969" spans="5:5" ht="14.25" customHeight="1" x14ac:dyDescent="0.25">
      <c r="E969" s="1"/>
    </row>
    <row r="970" spans="5:5" ht="14.25" customHeight="1" x14ac:dyDescent="0.25">
      <c r="E970" s="1"/>
    </row>
    <row r="971" spans="5:5" ht="14.25" customHeight="1" x14ac:dyDescent="0.25">
      <c r="E971" s="1"/>
    </row>
    <row r="972" spans="5:5" ht="14.25" customHeight="1" x14ac:dyDescent="0.25">
      <c r="E972" s="1"/>
    </row>
    <row r="973" spans="5:5" ht="14.25" customHeight="1" x14ac:dyDescent="0.25">
      <c r="E973" s="1"/>
    </row>
    <row r="974" spans="5:5" ht="14.25" customHeight="1" x14ac:dyDescent="0.25">
      <c r="E974" s="1"/>
    </row>
    <row r="975" spans="5:5" ht="14.25" customHeight="1" x14ac:dyDescent="0.25">
      <c r="E975" s="1"/>
    </row>
    <row r="976" spans="5:5" ht="14.25" customHeight="1" x14ac:dyDescent="0.25">
      <c r="E976" s="1"/>
    </row>
    <row r="977" spans="5:5" ht="14.25" customHeight="1" x14ac:dyDescent="0.25">
      <c r="E977" s="1"/>
    </row>
    <row r="978" spans="5:5" ht="14.25" customHeight="1" x14ac:dyDescent="0.25">
      <c r="E978" s="1"/>
    </row>
    <row r="979" spans="5:5" ht="14.25" customHeight="1" x14ac:dyDescent="0.25">
      <c r="E979" s="1"/>
    </row>
    <row r="980" spans="5:5" ht="14.25" customHeight="1" x14ac:dyDescent="0.25">
      <c r="E980" s="1"/>
    </row>
    <row r="981" spans="5:5" ht="14.25" customHeight="1" x14ac:dyDescent="0.25">
      <c r="E981" s="1"/>
    </row>
    <row r="982" spans="5:5" ht="14.25" customHeight="1" x14ac:dyDescent="0.25">
      <c r="E982" s="1"/>
    </row>
    <row r="983" spans="5:5" ht="14.25" customHeight="1" x14ac:dyDescent="0.25">
      <c r="E983" s="1"/>
    </row>
    <row r="984" spans="5:5" ht="14.25" customHeight="1" x14ac:dyDescent="0.25">
      <c r="E984" s="1"/>
    </row>
    <row r="985" spans="5:5" ht="14.25" customHeight="1" x14ac:dyDescent="0.25">
      <c r="E985" s="1"/>
    </row>
    <row r="986" spans="5:5" ht="14.25" customHeight="1" x14ac:dyDescent="0.25">
      <c r="E986" s="1"/>
    </row>
    <row r="987" spans="5:5" ht="14.25" customHeight="1" x14ac:dyDescent="0.25">
      <c r="E987" s="1"/>
    </row>
    <row r="988" spans="5:5" ht="14.25" customHeight="1" x14ac:dyDescent="0.25">
      <c r="E988" s="1"/>
    </row>
    <row r="989" spans="5:5" ht="14.25" customHeight="1" x14ac:dyDescent="0.25">
      <c r="E989" s="1"/>
    </row>
    <row r="990" spans="5:5" ht="14.25" customHeight="1" x14ac:dyDescent="0.25">
      <c r="E990" s="1"/>
    </row>
    <row r="991" spans="5:5" ht="14.25" customHeight="1" x14ac:dyDescent="0.25">
      <c r="E991" s="1"/>
    </row>
    <row r="992" spans="5:5" ht="14.25" customHeight="1" x14ac:dyDescent="0.25">
      <c r="E992" s="1"/>
    </row>
    <row r="993" spans="5:5" ht="14.25" customHeight="1" x14ac:dyDescent="0.25">
      <c r="E993" s="1"/>
    </row>
    <row r="994" spans="5:5" ht="14.25" customHeight="1" x14ac:dyDescent="0.25">
      <c r="E994" s="1"/>
    </row>
    <row r="995" spans="5:5" ht="14.25" customHeight="1" x14ac:dyDescent="0.25">
      <c r="E995" s="1"/>
    </row>
    <row r="996" spans="5:5" ht="14.25" customHeight="1" x14ac:dyDescent="0.25">
      <c r="E996" s="1"/>
    </row>
    <row r="997" spans="5:5" ht="14.25" customHeight="1" x14ac:dyDescent="0.25">
      <c r="E997" s="1"/>
    </row>
    <row r="998" spans="5:5" ht="14.25" customHeight="1" x14ac:dyDescent="0.25">
      <c r="E998" s="1"/>
    </row>
    <row r="999" spans="5:5" ht="14.25" customHeight="1" x14ac:dyDescent="0.25">
      <c r="E999" s="1"/>
    </row>
    <row r="1000" spans="5:5" ht="14.25" customHeight="1" x14ac:dyDescent="0.25">
      <c r="E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87E1-9F57-4A5B-931A-1F3476B748A7}">
  <dimension ref="A1:I81"/>
  <sheetViews>
    <sheetView tabSelected="1" topLeftCell="A79" workbookViewId="0">
      <selection activeCell="B94" sqref="B94"/>
    </sheetView>
  </sheetViews>
  <sheetFormatPr defaultRowHeight="15" x14ac:dyDescent="0.25"/>
  <sheetData>
    <row r="1" spans="1:9" x14ac:dyDescent="0.25">
      <c r="A1" t="s">
        <v>22</v>
      </c>
    </row>
    <row r="2" spans="1:9" ht="15.75" thickBot="1" x14ac:dyDescent="0.3"/>
    <row r="3" spans="1:9" x14ac:dyDescent="0.25">
      <c r="A3" s="37" t="s">
        <v>23</v>
      </c>
      <c r="B3" s="37"/>
    </row>
    <row r="4" spans="1:9" x14ac:dyDescent="0.25">
      <c r="A4" s="34" t="s">
        <v>24</v>
      </c>
      <c r="B4" s="34">
        <v>0.93395024519117076</v>
      </c>
    </row>
    <row r="5" spans="1:9" x14ac:dyDescent="0.25">
      <c r="A5" s="34" t="s">
        <v>25</v>
      </c>
      <c r="B5" s="34">
        <v>0.87226306049264801</v>
      </c>
    </row>
    <row r="6" spans="1:9" x14ac:dyDescent="0.25">
      <c r="A6" s="34" t="s">
        <v>26</v>
      </c>
      <c r="B6" s="34">
        <v>0.85097357057475609</v>
      </c>
    </row>
    <row r="7" spans="1:9" x14ac:dyDescent="0.25">
      <c r="A7" s="34" t="s">
        <v>27</v>
      </c>
      <c r="B7" s="34">
        <v>118.18238577758798</v>
      </c>
    </row>
    <row r="8" spans="1:9" ht="15.75" thickBot="1" x14ac:dyDescent="0.3">
      <c r="A8" s="35" t="s">
        <v>28</v>
      </c>
      <c r="B8" s="35">
        <v>15</v>
      </c>
    </row>
    <row r="10" spans="1:9" ht="15.75" thickBot="1" x14ac:dyDescent="0.3">
      <c r="A10" t="s">
        <v>29</v>
      </c>
    </row>
    <row r="11" spans="1:9" x14ac:dyDescent="0.25">
      <c r="A11" s="36"/>
      <c r="B11" s="36" t="s">
        <v>30</v>
      </c>
      <c r="C11" s="36" t="s">
        <v>31</v>
      </c>
      <c r="D11" s="36" t="s">
        <v>32</v>
      </c>
      <c r="E11" s="36" t="s">
        <v>33</v>
      </c>
      <c r="F11" s="36" t="s">
        <v>34</v>
      </c>
    </row>
    <row r="12" spans="1:9" x14ac:dyDescent="0.25">
      <c r="A12" s="34" t="s">
        <v>35</v>
      </c>
      <c r="B12" s="34">
        <v>2</v>
      </c>
      <c r="C12" s="34">
        <v>1144505.0843030084</v>
      </c>
      <c r="D12" s="34">
        <v>572252.5421515042</v>
      </c>
      <c r="E12" s="34">
        <v>40.971534022503086</v>
      </c>
      <c r="F12" s="34">
        <v>4.3440922498509689E-6</v>
      </c>
    </row>
    <row r="13" spans="1:9" x14ac:dyDescent="0.25">
      <c r="A13" s="34" t="s">
        <v>36</v>
      </c>
      <c r="B13" s="34">
        <v>12</v>
      </c>
      <c r="C13" s="34">
        <v>167604.91569699155</v>
      </c>
      <c r="D13" s="34">
        <v>13967.076308082629</v>
      </c>
      <c r="E13" s="34"/>
      <c r="F13" s="34"/>
    </row>
    <row r="14" spans="1:9" ht="15.75" thickBot="1" x14ac:dyDescent="0.3">
      <c r="A14" s="35" t="s">
        <v>37</v>
      </c>
      <c r="B14" s="35">
        <v>14</v>
      </c>
      <c r="C14" s="35">
        <v>1312110</v>
      </c>
      <c r="D14" s="35"/>
      <c r="E14" s="35"/>
      <c r="F14" s="35"/>
    </row>
    <row r="15" spans="1:9" ht="15.75" thickBot="1" x14ac:dyDescent="0.3"/>
    <row r="16" spans="1:9" x14ac:dyDescent="0.25">
      <c r="A16" s="36"/>
      <c r="B16" s="36" t="s">
        <v>38</v>
      </c>
      <c r="C16" s="36" t="s">
        <v>27</v>
      </c>
      <c r="D16" s="36" t="s">
        <v>39</v>
      </c>
      <c r="E16" s="36" t="s">
        <v>40</v>
      </c>
      <c r="F16" s="36" t="s">
        <v>41</v>
      </c>
      <c r="G16" s="36" t="s">
        <v>42</v>
      </c>
      <c r="H16" s="36" t="s">
        <v>43</v>
      </c>
      <c r="I16" s="36" t="s">
        <v>44</v>
      </c>
    </row>
    <row r="17" spans="1:9" x14ac:dyDescent="0.25">
      <c r="A17" s="34" t="s">
        <v>45</v>
      </c>
      <c r="B17" s="34">
        <v>3092.8834882593819</v>
      </c>
      <c r="C17" s="34">
        <v>200.17042185531341</v>
      </c>
      <c r="D17" s="34">
        <v>15.451251286740909</v>
      </c>
      <c r="E17" s="34">
        <v>2.7678804244337782E-9</v>
      </c>
      <c r="F17" s="34">
        <v>2656.7496050011237</v>
      </c>
      <c r="G17" s="34">
        <v>3529.0173715176402</v>
      </c>
      <c r="H17" s="34">
        <v>2656.7496050011237</v>
      </c>
      <c r="I17" s="34">
        <v>3529.0173715176402</v>
      </c>
    </row>
    <row r="18" spans="1:9" x14ac:dyDescent="0.25">
      <c r="A18" s="34" t="s">
        <v>4</v>
      </c>
      <c r="B18" s="34">
        <v>-142.54844931549295</v>
      </c>
      <c r="C18" s="34">
        <v>17.152811665802439</v>
      </c>
      <c r="D18" s="34">
        <v>-8.3105004644627325</v>
      </c>
      <c r="E18" s="34">
        <v>2.5406910656036856E-6</v>
      </c>
      <c r="F18" s="34">
        <v>-179.921215437809</v>
      </c>
      <c r="G18" s="34">
        <v>-105.17568319317689</v>
      </c>
      <c r="H18" s="34">
        <v>-179.921215437809</v>
      </c>
      <c r="I18" s="34">
        <v>-105.17568319317689</v>
      </c>
    </row>
    <row r="19" spans="1:9" ht="15.75" thickBot="1" x14ac:dyDescent="0.3">
      <c r="A19" s="35" t="s">
        <v>15</v>
      </c>
      <c r="B19" s="35">
        <v>0.10225716010894527</v>
      </c>
      <c r="C19" s="35">
        <v>3.6722961237723104E-2</v>
      </c>
      <c r="D19" s="35">
        <v>2.7845564916998895</v>
      </c>
      <c r="E19" s="35">
        <v>1.6510339122532174E-2</v>
      </c>
      <c r="F19" s="35">
        <v>2.224470102082185E-2</v>
      </c>
      <c r="G19" s="35">
        <v>0.18226961919706869</v>
      </c>
      <c r="H19" s="35">
        <v>2.224470102082185E-2</v>
      </c>
      <c r="I19" s="35">
        <v>0.18226961919706869</v>
      </c>
    </row>
    <row r="23" spans="1:9" x14ac:dyDescent="0.25">
      <c r="A23" t="s">
        <v>46</v>
      </c>
    </row>
    <row r="24" spans="1:9" ht="15.75" thickBot="1" x14ac:dyDescent="0.3"/>
    <row r="25" spans="1:9" x14ac:dyDescent="0.25">
      <c r="A25" s="36" t="s">
        <v>47</v>
      </c>
      <c r="B25" s="36" t="s">
        <v>48</v>
      </c>
      <c r="C25" s="36" t="s">
        <v>49</v>
      </c>
    </row>
    <row r="26" spans="1:9" x14ac:dyDescent="0.25">
      <c r="A26" s="34">
        <v>1</v>
      </c>
      <c r="B26" s="34">
        <v>1108.0424886904059</v>
      </c>
      <c r="C26" s="34">
        <v>131.95751130959411</v>
      </c>
    </row>
    <row r="27" spans="1:9" x14ac:dyDescent="0.25">
      <c r="A27" s="34">
        <v>2</v>
      </c>
      <c r="B27" s="34">
        <v>1164.1175599210792</v>
      </c>
      <c r="C27" s="34">
        <v>-214.11755992107919</v>
      </c>
    </row>
    <row r="28" spans="1:9" x14ac:dyDescent="0.25">
      <c r="A28" s="34">
        <v>3</v>
      </c>
      <c r="B28" s="34">
        <v>1444.2679673758641</v>
      </c>
      <c r="C28" s="34">
        <v>135.73203262413585</v>
      </c>
    </row>
    <row r="29" spans="1:9" x14ac:dyDescent="0.25">
      <c r="A29" s="34">
        <v>4</v>
      </c>
      <c r="B29" s="34">
        <v>1047.6055548805844</v>
      </c>
      <c r="C29" s="34">
        <v>142.39444511941565</v>
      </c>
    </row>
    <row r="30" spans="1:9" x14ac:dyDescent="0.25">
      <c r="A30" s="34">
        <v>5</v>
      </c>
      <c r="B30" s="34">
        <v>1484.5592565824118</v>
      </c>
      <c r="C30" s="34">
        <v>-54.559256582411763</v>
      </c>
    </row>
    <row r="31" spans="1:9" x14ac:dyDescent="0.25">
      <c r="A31" s="34">
        <v>6</v>
      </c>
      <c r="B31" s="34">
        <v>1627.1077058979049</v>
      </c>
      <c r="C31" s="34">
        <v>-67.107705897904907</v>
      </c>
    </row>
    <row r="32" spans="1:9" x14ac:dyDescent="0.25">
      <c r="A32" s="34">
        <v>7</v>
      </c>
      <c r="B32" s="34">
        <v>1156.697823156778</v>
      </c>
      <c r="C32" s="34">
        <v>-96.697823156777986</v>
      </c>
    </row>
    <row r="33" spans="1:3" x14ac:dyDescent="0.25">
      <c r="A33" s="34">
        <v>8</v>
      </c>
      <c r="B33" s="34">
        <v>852.82277049490563</v>
      </c>
      <c r="C33" s="34">
        <v>-52.822770494905626</v>
      </c>
    </row>
    <row r="34" spans="1:3" x14ac:dyDescent="0.25">
      <c r="A34" s="34">
        <v>9</v>
      </c>
      <c r="B34" s="34">
        <v>1826.6755349395951</v>
      </c>
      <c r="C34" s="34">
        <v>68.324465060404918</v>
      </c>
    </row>
    <row r="35" spans="1:3" x14ac:dyDescent="0.25">
      <c r="A35" s="34">
        <v>10</v>
      </c>
      <c r="B35" s="34">
        <v>1306.6660092365719</v>
      </c>
      <c r="C35" s="34">
        <v>168.33399076342812</v>
      </c>
    </row>
    <row r="36" spans="1:3" x14ac:dyDescent="0.25">
      <c r="A36" s="34">
        <v>11</v>
      </c>
      <c r="B36" s="34">
        <v>1586.8164166913571</v>
      </c>
      <c r="C36" s="34">
        <v>-26.816416691357063</v>
      </c>
    </row>
    <row r="37" spans="1:3" x14ac:dyDescent="0.25">
      <c r="A37" s="34">
        <v>12</v>
      </c>
      <c r="B37" s="34">
        <v>1199.4623579514259</v>
      </c>
      <c r="C37" s="34">
        <v>35.537642048574071</v>
      </c>
    </row>
    <row r="38" spans="1:3" x14ac:dyDescent="0.25">
      <c r="A38" s="34">
        <v>13</v>
      </c>
      <c r="B38" s="34">
        <v>1118.8797795383307</v>
      </c>
      <c r="C38" s="34">
        <v>-53.879779538330695</v>
      </c>
    </row>
    <row r="39" spans="1:3" x14ac:dyDescent="0.25">
      <c r="A39" s="34">
        <v>14</v>
      </c>
      <c r="B39" s="34">
        <v>1056.9139086359332</v>
      </c>
      <c r="C39" s="34">
        <v>-31.91390863593324</v>
      </c>
    </row>
    <row r="40" spans="1:3" ht="15.75" thickBot="1" x14ac:dyDescent="0.3">
      <c r="A40" s="35">
        <v>15</v>
      </c>
      <c r="B40" s="35">
        <v>1729.3648660068502</v>
      </c>
      <c r="C40" s="35">
        <v>-84.364866006850207</v>
      </c>
    </row>
    <row r="50" spans="1:9" x14ac:dyDescent="0.25">
      <c r="A50" s="38" t="s">
        <v>52</v>
      </c>
    </row>
    <row r="52" spans="1:9" x14ac:dyDescent="0.25">
      <c r="A52" t="e">
        <f>-142*price+0.1*ads budget+3092.883</f>
        <v>#NAME?</v>
      </c>
      <c r="D52" s="38" t="s">
        <v>70</v>
      </c>
      <c r="I52">
        <v>425</v>
      </c>
    </row>
    <row r="53" spans="1:9" x14ac:dyDescent="0.25">
      <c r="D53" s="38" t="s">
        <v>71</v>
      </c>
      <c r="I53">
        <v>2029</v>
      </c>
    </row>
    <row r="58" spans="1:9" x14ac:dyDescent="0.25">
      <c r="E58" s="38" t="s">
        <v>72</v>
      </c>
      <c r="F58" s="38" t="s">
        <v>73</v>
      </c>
      <c r="G58" s="38" t="s">
        <v>52</v>
      </c>
    </row>
    <row r="59" spans="1:9" x14ac:dyDescent="0.25">
      <c r="E59">
        <v>20</v>
      </c>
      <c r="F59">
        <v>1700</v>
      </c>
      <c r="G59">
        <f>B18*E59+F59*B19+B17</f>
        <v>415.75167413472991</v>
      </c>
    </row>
    <row r="60" spans="1:9" x14ac:dyDescent="0.25">
      <c r="E60">
        <v>10</v>
      </c>
      <c r="F60">
        <v>3500</v>
      </c>
      <c r="G60" s="22">
        <f>E60*B18+B19*F60+B17</f>
        <v>2025.2990554857611</v>
      </c>
    </row>
    <row r="68" spans="3:9" x14ac:dyDescent="0.25">
      <c r="D68" s="38" t="s">
        <v>78</v>
      </c>
    </row>
    <row r="70" spans="3:9" x14ac:dyDescent="0.25">
      <c r="D70" s="8" t="s">
        <v>74</v>
      </c>
    </row>
    <row r="71" spans="3:9" x14ac:dyDescent="0.25">
      <c r="D71" s="8" t="s">
        <v>79</v>
      </c>
      <c r="H71" s="8" t="s">
        <v>72</v>
      </c>
      <c r="I71" s="8">
        <v>20.094258576791031</v>
      </c>
    </row>
    <row r="72" spans="3:9" x14ac:dyDescent="0.25">
      <c r="D72" s="8" t="s">
        <v>76</v>
      </c>
      <c r="H72" s="8" t="s">
        <v>73</v>
      </c>
      <c r="I72" s="8">
        <v>1000</v>
      </c>
    </row>
    <row r="73" spans="3:9" x14ac:dyDescent="0.25">
      <c r="D73" s="8" t="s">
        <v>77</v>
      </c>
      <c r="H73" s="8" t="s">
        <v>52</v>
      </c>
      <c r="I73" s="8">
        <f>B18*I71+I72*B19+B17</f>
        <v>330.7352481022217</v>
      </c>
    </row>
    <row r="74" spans="3:9" x14ac:dyDescent="0.25">
      <c r="H74" s="8" t="s">
        <v>62</v>
      </c>
      <c r="I74">
        <f>8</f>
        <v>8</v>
      </c>
    </row>
    <row r="75" spans="3:9" x14ac:dyDescent="0.25">
      <c r="H75" s="8" t="s">
        <v>63</v>
      </c>
      <c r="I75">
        <f>(I71-I74)*I73</f>
        <v>3999.9976110074044</v>
      </c>
    </row>
    <row r="77" spans="3:9" x14ac:dyDescent="0.25">
      <c r="C77" s="8" t="s">
        <v>72</v>
      </c>
      <c r="D77" s="8">
        <f>20</f>
        <v>20</v>
      </c>
    </row>
    <row r="78" spans="3:9" x14ac:dyDescent="0.25">
      <c r="C78" s="8" t="s">
        <v>73</v>
      </c>
      <c r="D78" s="8">
        <f>5000</f>
        <v>5000</v>
      </c>
    </row>
    <row r="79" spans="3:9" x14ac:dyDescent="0.25">
      <c r="C79" s="8" t="s">
        <v>52</v>
      </c>
      <c r="D79" s="8">
        <f>-142*D77+D78*0.1+3092</f>
        <v>752</v>
      </c>
    </row>
    <row r="80" spans="3:9" x14ac:dyDescent="0.25">
      <c r="C80" s="8" t="s">
        <v>62</v>
      </c>
      <c r="D80" s="22">
        <f>8</f>
        <v>8</v>
      </c>
    </row>
    <row r="81" spans="3:4" x14ac:dyDescent="0.25">
      <c r="C81" s="8" t="s">
        <v>63</v>
      </c>
      <c r="D81" s="22">
        <f>(D77-D80)*D79</f>
        <v>9024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G15" sqref="G15"/>
    </sheetView>
  </sheetViews>
  <sheetFormatPr defaultColWidth="14.42578125" defaultRowHeight="15" customHeight="1" x14ac:dyDescent="0.25"/>
  <cols>
    <col min="1" max="3" width="9.140625" customWidth="1"/>
    <col min="4" max="4" width="17.42578125" customWidth="1"/>
    <col min="5" max="5" width="13.42578125" customWidth="1"/>
    <col min="6" max="7" width="9.140625" customWidth="1"/>
    <col min="8" max="8" width="21.85546875" customWidth="1"/>
    <col min="9" max="9" width="17.42578125" customWidth="1"/>
    <col min="10" max="11" width="9.140625" customWidth="1"/>
    <col min="12" max="12" width="18" customWidth="1"/>
    <col min="13" max="26" width="9.140625" customWidth="1"/>
  </cols>
  <sheetData>
    <row r="1" spans="1:26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 x14ac:dyDescent="0.25">
      <c r="A3" s="8"/>
      <c r="B3" s="28" t="s">
        <v>13</v>
      </c>
      <c r="C3" s="29"/>
      <c r="D3" s="29"/>
      <c r="E3" s="30"/>
      <c r="F3" s="8"/>
      <c r="G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25" customHeight="1" x14ac:dyDescent="0.25">
      <c r="A4" s="8"/>
      <c r="B4" s="9" t="s">
        <v>14</v>
      </c>
      <c r="C4" s="9" t="s">
        <v>4</v>
      </c>
      <c r="D4" s="10" t="s">
        <v>15</v>
      </c>
      <c r="E4" s="9" t="s">
        <v>5</v>
      </c>
      <c r="F4" s="8"/>
      <c r="G4" s="8"/>
      <c r="R4" s="8"/>
      <c r="S4" s="8"/>
      <c r="T4" s="8"/>
      <c r="U4" s="8"/>
      <c r="V4" s="8"/>
      <c r="W4" s="8"/>
      <c r="X4" s="8"/>
      <c r="Y4" s="8"/>
      <c r="Z4" s="8"/>
    </row>
    <row r="5" spans="1:26" ht="14.25" customHeight="1" x14ac:dyDescent="0.25">
      <c r="A5" s="8"/>
      <c r="B5" s="11">
        <v>1</v>
      </c>
      <c r="C5" s="12">
        <v>15</v>
      </c>
      <c r="D5" s="13">
        <v>1500</v>
      </c>
      <c r="E5" s="11">
        <v>1240</v>
      </c>
      <c r="F5" s="8"/>
      <c r="G5" s="8"/>
      <c r="H5" s="26"/>
      <c r="I5" s="27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 x14ac:dyDescent="0.25">
      <c r="A6" s="8"/>
      <c r="B6" s="11">
        <v>2</v>
      </c>
      <c r="C6" s="12">
        <v>16.399999999999999</v>
      </c>
      <c r="D6" s="13">
        <v>4000</v>
      </c>
      <c r="E6" s="11">
        <v>950</v>
      </c>
      <c r="F6" s="8"/>
      <c r="G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 x14ac:dyDescent="0.25">
      <c r="A7" s="8"/>
      <c r="B7" s="11">
        <v>3</v>
      </c>
      <c r="C7" s="12">
        <v>13</v>
      </c>
      <c r="D7" s="13">
        <v>2000</v>
      </c>
      <c r="E7" s="11">
        <v>1580</v>
      </c>
      <c r="F7" s="8"/>
      <c r="G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 x14ac:dyDescent="0.25">
      <c r="A8" s="8"/>
      <c r="B8" s="11">
        <v>4</v>
      </c>
      <c r="C8" s="12">
        <v>16.5</v>
      </c>
      <c r="D8" s="11">
        <v>3000</v>
      </c>
      <c r="E8" s="11">
        <v>1190</v>
      </c>
      <c r="F8" s="8"/>
      <c r="G8" s="8"/>
      <c r="R8" s="8"/>
      <c r="S8" s="8"/>
      <c r="T8" s="8"/>
      <c r="U8" s="8"/>
      <c r="V8" s="8"/>
      <c r="W8" s="8"/>
      <c r="X8" s="8"/>
      <c r="Y8" s="8"/>
      <c r="Z8" s="8"/>
    </row>
    <row r="9" spans="1:26" ht="14.25" customHeight="1" x14ac:dyDescent="0.25">
      <c r="A9" s="8"/>
      <c r="B9" s="11">
        <v>5</v>
      </c>
      <c r="C9" s="12">
        <v>12</v>
      </c>
      <c r="D9" s="11">
        <v>1000</v>
      </c>
      <c r="E9" s="11">
        <v>1430</v>
      </c>
      <c r="F9" s="8"/>
      <c r="G9" s="8"/>
      <c r="R9" s="8"/>
      <c r="S9" s="8"/>
      <c r="T9" s="8"/>
      <c r="U9" s="8"/>
      <c r="V9" s="8"/>
      <c r="W9" s="8"/>
      <c r="X9" s="8"/>
      <c r="Y9" s="8"/>
      <c r="Z9" s="8"/>
    </row>
    <row r="10" spans="1:26" ht="14.25" customHeight="1" x14ac:dyDescent="0.25">
      <c r="A10" s="8"/>
      <c r="B10" s="11">
        <v>6</v>
      </c>
      <c r="C10" s="12">
        <v>11</v>
      </c>
      <c r="D10" s="11">
        <v>1000</v>
      </c>
      <c r="E10" s="11">
        <v>1560</v>
      </c>
      <c r="F10" s="8"/>
      <c r="G10" s="8"/>
      <c r="H10" s="15"/>
      <c r="I10" s="15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 x14ac:dyDescent="0.25">
      <c r="A11" s="8"/>
      <c r="B11" s="11">
        <v>7</v>
      </c>
      <c r="C11" s="12">
        <v>14.3</v>
      </c>
      <c r="D11" s="11">
        <v>1000</v>
      </c>
      <c r="E11" s="11">
        <v>1060</v>
      </c>
      <c r="F11" s="8"/>
      <c r="G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25" customHeight="1" x14ac:dyDescent="0.25">
      <c r="A12" s="8"/>
      <c r="B12" s="11">
        <v>8</v>
      </c>
      <c r="C12" s="12">
        <v>18.2</v>
      </c>
      <c r="D12" s="13">
        <v>3465</v>
      </c>
      <c r="E12" s="11">
        <v>800</v>
      </c>
      <c r="F12" s="8"/>
      <c r="G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25" customHeight="1" x14ac:dyDescent="0.25">
      <c r="A13" s="8"/>
      <c r="B13" s="11">
        <v>9</v>
      </c>
      <c r="C13" s="12">
        <v>9.6</v>
      </c>
      <c r="D13" s="11">
        <v>1000</v>
      </c>
      <c r="E13" s="11">
        <v>1895</v>
      </c>
      <c r="F13" s="8"/>
      <c r="G13" s="8"/>
      <c r="H13" s="14"/>
      <c r="I13" s="14"/>
      <c r="J13" s="14"/>
      <c r="K13" s="14"/>
      <c r="L13" s="14"/>
      <c r="M13" s="14"/>
      <c r="R13" s="8"/>
      <c r="S13" s="8"/>
      <c r="T13" s="8"/>
      <c r="U13" s="8"/>
      <c r="V13" s="8"/>
      <c r="W13" s="8"/>
      <c r="X13" s="8"/>
      <c r="Y13" s="8"/>
      <c r="Z13" s="8"/>
    </row>
    <row r="14" spans="1:26" ht="14.25" customHeight="1" x14ac:dyDescent="0.25">
      <c r="A14" s="8"/>
      <c r="B14" s="11">
        <v>10</v>
      </c>
      <c r="C14" s="12">
        <v>15.4</v>
      </c>
      <c r="D14" s="11">
        <v>4000</v>
      </c>
      <c r="E14" s="11">
        <v>1475</v>
      </c>
      <c r="F14" s="8"/>
      <c r="G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25" customHeight="1" x14ac:dyDescent="0.25">
      <c r="A15" s="8"/>
      <c r="B15" s="11">
        <v>11</v>
      </c>
      <c r="C15" s="12">
        <v>12</v>
      </c>
      <c r="D15" s="13">
        <v>2000</v>
      </c>
      <c r="E15" s="11">
        <v>1560</v>
      </c>
      <c r="F15" s="8"/>
      <c r="G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25" customHeight="1" x14ac:dyDescent="0.25">
      <c r="A16" s="8"/>
      <c r="B16" s="11">
        <v>12</v>
      </c>
      <c r="C16" s="12">
        <v>14</v>
      </c>
      <c r="D16" s="11">
        <v>1000</v>
      </c>
      <c r="E16" s="11">
        <v>1235</v>
      </c>
      <c r="F16" s="8"/>
      <c r="G16" s="8"/>
      <c r="H16" s="15"/>
      <c r="I16" s="15"/>
      <c r="J16" s="15"/>
      <c r="K16" s="15"/>
      <c r="L16" s="15"/>
      <c r="M16" s="15"/>
      <c r="R16" s="8"/>
      <c r="S16" s="8"/>
      <c r="T16" s="8"/>
      <c r="U16" s="8"/>
      <c r="V16" s="8"/>
      <c r="W16" s="8"/>
      <c r="X16" s="8"/>
      <c r="Y16" s="8"/>
      <c r="Z16" s="8"/>
    </row>
    <row r="17" spans="1:26" ht="14.25" customHeight="1" x14ac:dyDescent="0.25">
      <c r="A17" s="8"/>
      <c r="B17" s="11">
        <v>13</v>
      </c>
      <c r="C17" s="12">
        <v>16</v>
      </c>
      <c r="D17" s="11">
        <v>3000</v>
      </c>
      <c r="E17" s="11">
        <v>1065</v>
      </c>
      <c r="F17" s="8"/>
      <c r="G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25" customHeight="1" x14ac:dyDescent="0.25">
      <c r="A18" s="8"/>
      <c r="B18" s="11">
        <v>14</v>
      </c>
      <c r="C18" s="12">
        <v>15</v>
      </c>
      <c r="D18" s="11">
        <v>1000</v>
      </c>
      <c r="E18" s="11">
        <v>1025</v>
      </c>
      <c r="F18" s="8"/>
      <c r="G18" s="8"/>
      <c r="H18" s="14"/>
      <c r="I18" s="14"/>
      <c r="J18" s="14"/>
      <c r="K18" s="14"/>
      <c r="L18" s="14"/>
      <c r="M18" s="14"/>
      <c r="N18" s="14"/>
      <c r="O18" s="14"/>
      <c r="P18" s="14"/>
      <c r="R18" s="8"/>
      <c r="S18" s="8"/>
      <c r="T18" s="8"/>
      <c r="U18" s="8"/>
      <c r="V18" s="8"/>
      <c r="W18" s="8"/>
      <c r="X18" s="8"/>
      <c r="Y18" s="8"/>
      <c r="Z18" s="8"/>
    </row>
    <row r="19" spans="1:26" ht="14.25" customHeight="1" x14ac:dyDescent="0.25">
      <c r="A19" s="8"/>
      <c r="B19" s="11">
        <v>15</v>
      </c>
      <c r="C19" s="12">
        <v>11</v>
      </c>
      <c r="D19" s="13">
        <v>2000</v>
      </c>
      <c r="E19" s="11">
        <v>1645</v>
      </c>
      <c r="F19" s="8"/>
      <c r="G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25" customHeight="1" x14ac:dyDescent="0.25">
      <c r="A20" s="8"/>
      <c r="B20" s="8"/>
      <c r="C20" s="8"/>
      <c r="D20" s="8"/>
      <c r="E20" s="8"/>
      <c r="F20" s="8"/>
      <c r="G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25" customHeight="1" x14ac:dyDescent="0.25">
      <c r="A21" s="8"/>
      <c r="B21" s="31" t="s">
        <v>16</v>
      </c>
      <c r="C21" s="32"/>
      <c r="D21" s="32"/>
      <c r="E21" s="17">
        <v>9</v>
      </c>
      <c r="F21" s="8"/>
      <c r="G21" s="8"/>
      <c r="H21" s="15"/>
      <c r="I21" s="15"/>
      <c r="J21" s="15"/>
      <c r="K21" s="15"/>
      <c r="L21" s="15"/>
      <c r="M21" s="15"/>
      <c r="N21" s="15"/>
      <c r="O21" s="15"/>
      <c r="P21" s="15"/>
      <c r="R21" s="8"/>
      <c r="S21" s="8"/>
      <c r="T21" s="8"/>
      <c r="U21" s="8"/>
      <c r="V21" s="8"/>
      <c r="W21" s="8"/>
      <c r="X21" s="8"/>
      <c r="Y21" s="8"/>
      <c r="Z21" s="8"/>
    </row>
    <row r="22" spans="1:26" ht="14.25" customHeight="1" x14ac:dyDescent="0.25">
      <c r="A22" s="8"/>
      <c r="B22" s="31" t="s">
        <v>17</v>
      </c>
      <c r="C22" s="32"/>
      <c r="D22" s="32"/>
      <c r="E22" s="17">
        <v>4000</v>
      </c>
      <c r="F22" s="8"/>
      <c r="G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25" customHeight="1" x14ac:dyDescent="0.25">
      <c r="A23" s="8"/>
      <c r="B23" s="31" t="s">
        <v>18</v>
      </c>
      <c r="C23" s="32"/>
      <c r="D23" s="32"/>
      <c r="E23" s="17">
        <v>10000</v>
      </c>
      <c r="F23" s="8"/>
      <c r="G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25" customHeight="1" x14ac:dyDescent="0.25">
      <c r="A24" s="8"/>
      <c r="B24" s="16"/>
      <c r="C24" s="16" t="s">
        <v>19</v>
      </c>
      <c r="D24" s="16"/>
      <c r="E24" s="17">
        <v>1000</v>
      </c>
      <c r="F24" s="8"/>
      <c r="G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25" customHeight="1" x14ac:dyDescent="0.25">
      <c r="A25" s="8"/>
      <c r="B25" s="8"/>
      <c r="C25" s="8"/>
      <c r="D25" s="8"/>
      <c r="E25" s="8"/>
      <c r="F25" s="8"/>
      <c r="G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25" customHeight="1" x14ac:dyDescent="0.25">
      <c r="A26" s="18"/>
      <c r="B26" s="33" t="s">
        <v>20</v>
      </c>
      <c r="C26" s="32"/>
      <c r="D26" s="32"/>
      <c r="E26" s="32"/>
      <c r="F26" s="32"/>
      <c r="G26" s="32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25" customHeight="1" x14ac:dyDescent="0.25">
      <c r="A27" s="8"/>
      <c r="B27" s="8"/>
      <c r="C27" s="8"/>
      <c r="D27" s="8"/>
      <c r="E27" s="8"/>
      <c r="F27" s="8"/>
      <c r="G27" s="8"/>
      <c r="H27" s="8"/>
      <c r="I27" s="8" t="s">
        <v>4</v>
      </c>
      <c r="J27" s="8" t="s">
        <v>21</v>
      </c>
      <c r="K27" s="8" t="s">
        <v>5</v>
      </c>
      <c r="L27" s="8" t="s">
        <v>11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25" customHeight="1" x14ac:dyDescent="0.25">
      <c r="A28" s="8"/>
      <c r="B28" s="8"/>
      <c r="C28" s="8"/>
      <c r="D28" s="8"/>
      <c r="E28" s="8"/>
      <c r="F28" s="8"/>
      <c r="G28" s="8"/>
      <c r="H28" s="8"/>
      <c r="I28" s="19">
        <v>18.935285368276343</v>
      </c>
      <c r="J28" s="8">
        <v>10000</v>
      </c>
      <c r="K28" s="8">
        <f>I20*I28+I21*J28+I19</f>
        <v>0</v>
      </c>
      <c r="L28" s="17">
        <f>K28*(I28-E21)-J28</f>
        <v>-10000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2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2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2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2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2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2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2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2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25" customHeight="1" x14ac:dyDescent="0.25">
      <c r="A38" s="8"/>
      <c r="B38" s="8"/>
      <c r="C38" s="8"/>
      <c r="D38" s="8" t="s">
        <v>74</v>
      </c>
      <c r="E38" s="8"/>
      <c r="F38" s="8"/>
      <c r="G38" s="8" t="s">
        <v>72</v>
      </c>
      <c r="H38" s="8">
        <f>30</f>
        <v>30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25" customHeight="1" x14ac:dyDescent="0.25">
      <c r="A39" s="8"/>
      <c r="B39" s="8"/>
      <c r="C39" s="8"/>
      <c r="D39" s="8" t="s">
        <v>75</v>
      </c>
      <c r="E39" s="8"/>
      <c r="F39" s="8"/>
      <c r="G39" s="8" t="s">
        <v>73</v>
      </c>
      <c r="H39" s="8">
        <f>5000</f>
        <v>5000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25" customHeight="1" x14ac:dyDescent="0.25">
      <c r="A40" s="8"/>
      <c r="B40" s="8"/>
      <c r="C40" s="8"/>
      <c r="D40" s="8" t="s">
        <v>76</v>
      </c>
      <c r="E40" s="8"/>
      <c r="F40" s="8"/>
      <c r="G40" s="8" t="s">
        <v>52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25" customHeight="1" x14ac:dyDescent="0.25">
      <c r="A41" s="8"/>
      <c r="B41" s="8"/>
      <c r="C41" s="8"/>
      <c r="D41" s="8" t="s">
        <v>77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2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2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2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2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2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2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2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2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2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2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2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2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2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2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2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2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2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2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26:G26"/>
    <mergeCell ref="H5:I5"/>
    <mergeCell ref="B3:E3"/>
    <mergeCell ref="B21:D21"/>
    <mergeCell ref="B22:D22"/>
    <mergeCell ref="B23:D2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C8:F24"/>
  <sheetViews>
    <sheetView topLeftCell="A16" workbookViewId="0"/>
  </sheetViews>
  <sheetFormatPr defaultColWidth="14.42578125" defaultRowHeight="15" customHeight="1" x14ac:dyDescent="0.25"/>
  <sheetData>
    <row r="8" spans="3:6" x14ac:dyDescent="0.25">
      <c r="C8" s="28" t="s">
        <v>13</v>
      </c>
      <c r="D8" s="29"/>
      <c r="E8" s="29"/>
      <c r="F8" s="30"/>
    </row>
    <row r="9" spans="3:6" x14ac:dyDescent="0.25">
      <c r="C9" s="9" t="s">
        <v>14</v>
      </c>
      <c r="D9" s="9" t="s">
        <v>4</v>
      </c>
      <c r="E9" s="10" t="s">
        <v>15</v>
      </c>
      <c r="F9" s="9" t="s">
        <v>5</v>
      </c>
    </row>
    <row r="10" spans="3:6" x14ac:dyDescent="0.25">
      <c r="C10" s="11">
        <v>1</v>
      </c>
      <c r="D10" s="12">
        <v>15</v>
      </c>
      <c r="E10" s="13">
        <v>1500</v>
      </c>
      <c r="F10" s="11">
        <v>1240</v>
      </c>
    </row>
    <row r="11" spans="3:6" x14ac:dyDescent="0.25">
      <c r="C11" s="11">
        <v>2</v>
      </c>
      <c r="D11" s="12">
        <v>16.399999999999999</v>
      </c>
      <c r="E11" s="13">
        <v>4000</v>
      </c>
      <c r="F11" s="11">
        <v>950</v>
      </c>
    </row>
    <row r="12" spans="3:6" x14ac:dyDescent="0.25">
      <c r="C12" s="11">
        <v>3</v>
      </c>
      <c r="D12" s="12">
        <v>13</v>
      </c>
      <c r="E12" s="13">
        <v>2000</v>
      </c>
      <c r="F12" s="11">
        <v>1580</v>
      </c>
    </row>
    <row r="13" spans="3:6" x14ac:dyDescent="0.25">
      <c r="C13" s="11">
        <v>4</v>
      </c>
      <c r="D13" s="12">
        <v>16.5</v>
      </c>
      <c r="E13" s="11">
        <v>3000</v>
      </c>
      <c r="F13" s="11">
        <v>1190</v>
      </c>
    </row>
    <row r="14" spans="3:6" x14ac:dyDescent="0.25">
      <c r="C14" s="11">
        <v>5</v>
      </c>
      <c r="D14" s="12">
        <v>12</v>
      </c>
      <c r="E14" s="11">
        <v>1000</v>
      </c>
      <c r="F14" s="11">
        <v>1430</v>
      </c>
    </row>
    <row r="15" spans="3:6" x14ac:dyDescent="0.25">
      <c r="C15" s="11">
        <v>6</v>
      </c>
      <c r="D15" s="12">
        <v>11</v>
      </c>
      <c r="E15" s="11">
        <v>1000</v>
      </c>
      <c r="F15" s="11">
        <v>1560</v>
      </c>
    </row>
    <row r="16" spans="3:6" x14ac:dyDescent="0.25">
      <c r="C16" s="11">
        <v>7</v>
      </c>
      <c r="D16" s="12">
        <v>14.3</v>
      </c>
      <c r="E16" s="11">
        <v>1000</v>
      </c>
      <c r="F16" s="11">
        <v>1060</v>
      </c>
    </row>
    <row r="17" spans="3:6" x14ac:dyDescent="0.25">
      <c r="C17" s="11">
        <v>8</v>
      </c>
      <c r="D17" s="12">
        <v>18.2</v>
      </c>
      <c r="E17" s="13">
        <v>3465</v>
      </c>
      <c r="F17" s="11">
        <v>800</v>
      </c>
    </row>
    <row r="18" spans="3:6" x14ac:dyDescent="0.25">
      <c r="C18" s="11">
        <v>9</v>
      </c>
      <c r="D18" s="12">
        <v>9.6</v>
      </c>
      <c r="E18" s="11">
        <v>1000</v>
      </c>
      <c r="F18" s="11">
        <v>1895</v>
      </c>
    </row>
    <row r="19" spans="3:6" x14ac:dyDescent="0.25">
      <c r="C19" s="11">
        <v>10</v>
      </c>
      <c r="D19" s="12">
        <v>15.4</v>
      </c>
      <c r="E19" s="11">
        <v>4000</v>
      </c>
      <c r="F19" s="11">
        <v>1475</v>
      </c>
    </row>
    <row r="20" spans="3:6" x14ac:dyDescent="0.25">
      <c r="C20" s="11">
        <v>11</v>
      </c>
      <c r="D20" s="12">
        <v>12</v>
      </c>
      <c r="E20" s="13">
        <v>2000</v>
      </c>
      <c r="F20" s="11">
        <v>1560</v>
      </c>
    </row>
    <row r="21" spans="3:6" x14ac:dyDescent="0.25">
      <c r="C21" s="11">
        <v>12</v>
      </c>
      <c r="D21" s="12">
        <v>14</v>
      </c>
      <c r="E21" s="11">
        <v>1000</v>
      </c>
      <c r="F21" s="11">
        <v>1235</v>
      </c>
    </row>
    <row r="22" spans="3:6" x14ac:dyDescent="0.25">
      <c r="C22" s="11">
        <v>13</v>
      </c>
      <c r="D22" s="12">
        <v>16</v>
      </c>
      <c r="E22" s="11">
        <v>3000</v>
      </c>
      <c r="F22" s="11">
        <v>1065</v>
      </c>
    </row>
    <row r="23" spans="3:6" x14ac:dyDescent="0.25">
      <c r="C23" s="11">
        <v>14</v>
      </c>
      <c r="D23" s="12">
        <v>15</v>
      </c>
      <c r="E23" s="11">
        <v>1000</v>
      </c>
      <c r="F23" s="11">
        <v>1025</v>
      </c>
    </row>
    <row r="24" spans="3:6" x14ac:dyDescent="0.25">
      <c r="C24" s="11">
        <v>15</v>
      </c>
      <c r="D24" s="12">
        <v>11</v>
      </c>
      <c r="E24" s="13">
        <v>2000</v>
      </c>
      <c r="F24" s="11">
        <v>1645</v>
      </c>
    </row>
  </sheetData>
  <mergeCells count="1">
    <mergeCell ref="C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9" ht="14.25" customHeight="1" x14ac:dyDescent="0.25">
      <c r="A1" s="2" t="s">
        <v>22</v>
      </c>
    </row>
    <row r="2" spans="1:9" ht="14.25" customHeight="1" x14ac:dyDescent="0.25"/>
    <row r="3" spans="1:9" ht="14.25" customHeight="1" x14ac:dyDescent="0.25">
      <c r="A3" s="26" t="s">
        <v>23</v>
      </c>
      <c r="B3" s="27"/>
    </row>
    <row r="4" spans="1:9" ht="14.25" customHeight="1" x14ac:dyDescent="0.25">
      <c r="A4" s="20" t="s">
        <v>24</v>
      </c>
      <c r="B4" s="20">
        <v>0.93395024519117076</v>
      </c>
    </row>
    <row r="5" spans="1:9" ht="14.25" customHeight="1" x14ac:dyDescent="0.25">
      <c r="A5" s="20" t="s">
        <v>25</v>
      </c>
      <c r="B5" s="20">
        <v>0.87226306049264801</v>
      </c>
    </row>
    <row r="6" spans="1:9" ht="14.25" customHeight="1" x14ac:dyDescent="0.25">
      <c r="A6" s="20" t="s">
        <v>26</v>
      </c>
      <c r="B6" s="20">
        <v>0.85097357057475609</v>
      </c>
    </row>
    <row r="7" spans="1:9" ht="14.25" customHeight="1" x14ac:dyDescent="0.25">
      <c r="A7" s="20" t="s">
        <v>27</v>
      </c>
      <c r="B7" s="20">
        <v>118.18238577758798</v>
      </c>
    </row>
    <row r="8" spans="1:9" ht="14.25" customHeight="1" x14ac:dyDescent="0.25">
      <c r="A8" s="15" t="s">
        <v>28</v>
      </c>
      <c r="B8" s="15">
        <v>15</v>
      </c>
    </row>
    <row r="9" spans="1:9" ht="14.25" customHeight="1" x14ac:dyDescent="0.25"/>
    <row r="10" spans="1:9" ht="14.25" customHeight="1" x14ac:dyDescent="0.25">
      <c r="A10" s="2" t="s">
        <v>29</v>
      </c>
    </row>
    <row r="11" spans="1:9" ht="14.25" customHeight="1" x14ac:dyDescent="0.25">
      <c r="A11" s="14"/>
      <c r="B11" s="14" t="s">
        <v>30</v>
      </c>
      <c r="C11" s="14" t="s">
        <v>31</v>
      </c>
      <c r="D11" s="14" t="s">
        <v>32</v>
      </c>
      <c r="E11" s="14" t="s">
        <v>33</v>
      </c>
      <c r="F11" s="14" t="s">
        <v>34</v>
      </c>
    </row>
    <row r="12" spans="1:9" ht="14.25" customHeight="1" x14ac:dyDescent="0.25">
      <c r="A12" s="20" t="s">
        <v>35</v>
      </c>
      <c r="B12" s="20">
        <v>2</v>
      </c>
      <c r="C12" s="20">
        <v>1144505.0843030084</v>
      </c>
      <c r="D12" s="20">
        <v>572252.5421515042</v>
      </c>
      <c r="E12" s="20">
        <v>40.971534022503086</v>
      </c>
      <c r="F12" s="20">
        <v>4.3440922498509689E-6</v>
      </c>
    </row>
    <row r="13" spans="1:9" ht="14.25" customHeight="1" x14ac:dyDescent="0.25">
      <c r="A13" s="20" t="s">
        <v>36</v>
      </c>
      <c r="B13" s="20">
        <v>12</v>
      </c>
      <c r="C13" s="20">
        <v>167604.91569699155</v>
      </c>
      <c r="D13" s="20">
        <v>13967.076308082629</v>
      </c>
      <c r="E13" s="20"/>
      <c r="F13" s="20"/>
    </row>
    <row r="14" spans="1:9" ht="14.25" customHeight="1" x14ac:dyDescent="0.25">
      <c r="A14" s="15" t="s">
        <v>37</v>
      </c>
      <c r="B14" s="15">
        <v>14</v>
      </c>
      <c r="C14" s="15">
        <v>1312110</v>
      </c>
      <c r="D14" s="15"/>
      <c r="E14" s="15"/>
      <c r="F14" s="15"/>
    </row>
    <row r="15" spans="1:9" ht="14.25" customHeight="1" x14ac:dyDescent="0.25"/>
    <row r="16" spans="1:9" ht="14.25" customHeight="1" x14ac:dyDescent="0.25">
      <c r="A16" s="14"/>
      <c r="B16" s="14" t="s">
        <v>38</v>
      </c>
      <c r="C16" s="14" t="s">
        <v>27</v>
      </c>
      <c r="D16" s="14" t="s">
        <v>39</v>
      </c>
      <c r="E16" s="14" t="s">
        <v>40</v>
      </c>
      <c r="F16" s="14" t="s">
        <v>41</v>
      </c>
      <c r="G16" s="14" t="s">
        <v>42</v>
      </c>
      <c r="H16" s="14" t="s">
        <v>43</v>
      </c>
      <c r="I16" s="14" t="s">
        <v>44</v>
      </c>
    </row>
    <row r="17" spans="1:9" ht="14.25" customHeight="1" x14ac:dyDescent="0.25">
      <c r="A17" s="20" t="s">
        <v>45</v>
      </c>
      <c r="B17" s="20">
        <v>3092.8834882593819</v>
      </c>
      <c r="C17" s="20">
        <v>200.17042185531341</v>
      </c>
      <c r="D17" s="20">
        <v>15.451251286740909</v>
      </c>
      <c r="E17" s="20">
        <v>2.7678804244337782E-9</v>
      </c>
      <c r="F17" s="20">
        <v>2656.7496050011237</v>
      </c>
      <c r="G17" s="20">
        <v>3529.0173715176402</v>
      </c>
      <c r="H17" s="20">
        <v>2656.7496050011237</v>
      </c>
      <c r="I17" s="20">
        <v>3529.0173715176402</v>
      </c>
    </row>
    <row r="18" spans="1:9" ht="14.25" customHeight="1" x14ac:dyDescent="0.25">
      <c r="A18" s="20" t="s">
        <v>4</v>
      </c>
      <c r="B18" s="20">
        <v>-142.54844931549295</v>
      </c>
      <c r="C18" s="20">
        <v>17.152811665802439</v>
      </c>
      <c r="D18" s="20">
        <v>-8.3105004644627325</v>
      </c>
      <c r="E18" s="20">
        <v>2.5406910656036856E-6</v>
      </c>
      <c r="F18" s="20">
        <v>-179.921215437809</v>
      </c>
      <c r="G18" s="20">
        <v>-105.17568319317689</v>
      </c>
      <c r="H18" s="20">
        <v>-179.921215437809</v>
      </c>
      <c r="I18" s="20">
        <v>-105.17568319317689</v>
      </c>
    </row>
    <row r="19" spans="1:9" ht="14.25" customHeight="1" x14ac:dyDescent="0.25">
      <c r="A19" s="15" t="s">
        <v>15</v>
      </c>
      <c r="B19" s="15">
        <v>0.10225716010894527</v>
      </c>
      <c r="C19" s="15">
        <v>3.6722961237723104E-2</v>
      </c>
      <c r="D19" s="15">
        <v>2.7845564916998895</v>
      </c>
      <c r="E19" s="15">
        <v>1.6510339122532174E-2</v>
      </c>
      <c r="F19" s="15">
        <v>2.224470102082185E-2</v>
      </c>
      <c r="G19" s="15">
        <v>0.18226961919706869</v>
      </c>
      <c r="H19" s="15">
        <v>2.224470102082185E-2</v>
      </c>
      <c r="I19" s="15">
        <v>0.18226961919706869</v>
      </c>
    </row>
    <row r="20" spans="1:9" ht="14.25" customHeight="1" x14ac:dyDescent="0.25"/>
    <row r="21" spans="1:9" ht="14.25" customHeight="1" x14ac:dyDescent="0.25"/>
    <row r="22" spans="1:9" ht="14.25" customHeight="1" x14ac:dyDescent="0.25"/>
    <row r="23" spans="1:9" ht="14.25" customHeight="1" x14ac:dyDescent="0.25">
      <c r="A23" s="2" t="s">
        <v>46</v>
      </c>
    </row>
    <row r="24" spans="1:9" ht="14.25" customHeight="1" x14ac:dyDescent="0.25"/>
    <row r="25" spans="1:9" ht="14.25" customHeight="1" x14ac:dyDescent="0.25">
      <c r="A25" s="14" t="s">
        <v>47</v>
      </c>
      <c r="B25" s="14" t="s">
        <v>48</v>
      </c>
      <c r="C25" s="14" t="s">
        <v>49</v>
      </c>
    </row>
    <row r="26" spans="1:9" ht="14.25" customHeight="1" x14ac:dyDescent="0.25">
      <c r="A26" s="20">
        <v>1</v>
      </c>
      <c r="B26" s="20">
        <v>1108.0424886904059</v>
      </c>
      <c r="C26" s="20">
        <v>131.95751130959411</v>
      </c>
    </row>
    <row r="27" spans="1:9" ht="14.25" customHeight="1" x14ac:dyDescent="0.25">
      <c r="A27" s="20">
        <v>2</v>
      </c>
      <c r="B27" s="20">
        <v>1164.1175599210792</v>
      </c>
      <c r="C27" s="20">
        <v>-214.11755992107919</v>
      </c>
    </row>
    <row r="28" spans="1:9" ht="14.25" customHeight="1" x14ac:dyDescent="0.25">
      <c r="A28" s="20">
        <v>3</v>
      </c>
      <c r="B28" s="20">
        <v>1444.2679673758641</v>
      </c>
      <c r="C28" s="20">
        <v>135.73203262413585</v>
      </c>
    </row>
    <row r="29" spans="1:9" ht="14.25" customHeight="1" x14ac:dyDescent="0.25">
      <c r="A29" s="20">
        <v>4</v>
      </c>
      <c r="B29" s="20">
        <v>1047.6055548805844</v>
      </c>
      <c r="C29" s="20">
        <v>142.39444511941565</v>
      </c>
    </row>
    <row r="30" spans="1:9" ht="14.25" customHeight="1" x14ac:dyDescent="0.25">
      <c r="A30" s="20">
        <v>5</v>
      </c>
      <c r="B30" s="20">
        <v>1484.5592565824118</v>
      </c>
      <c r="C30" s="20">
        <v>-54.559256582411763</v>
      </c>
    </row>
    <row r="31" spans="1:9" ht="14.25" customHeight="1" x14ac:dyDescent="0.25">
      <c r="A31" s="20">
        <v>6</v>
      </c>
      <c r="B31" s="20">
        <v>1627.1077058979049</v>
      </c>
      <c r="C31" s="20">
        <v>-67.107705897904907</v>
      </c>
    </row>
    <row r="32" spans="1:9" ht="14.25" customHeight="1" x14ac:dyDescent="0.25">
      <c r="A32" s="20">
        <v>7</v>
      </c>
      <c r="B32" s="20">
        <v>1156.697823156778</v>
      </c>
      <c r="C32" s="20">
        <v>-96.697823156777986</v>
      </c>
    </row>
    <row r="33" spans="1:3" ht="14.25" customHeight="1" x14ac:dyDescent="0.25">
      <c r="A33" s="20">
        <v>8</v>
      </c>
      <c r="B33" s="20">
        <v>852.82277049490563</v>
      </c>
      <c r="C33" s="20">
        <v>-52.822770494905626</v>
      </c>
    </row>
    <row r="34" spans="1:3" ht="14.25" customHeight="1" x14ac:dyDescent="0.25">
      <c r="A34" s="20">
        <v>9</v>
      </c>
      <c r="B34" s="20">
        <v>1826.6755349395951</v>
      </c>
      <c r="C34" s="20">
        <v>68.324465060404918</v>
      </c>
    </row>
    <row r="35" spans="1:3" ht="14.25" customHeight="1" x14ac:dyDescent="0.25">
      <c r="A35" s="20">
        <v>10</v>
      </c>
      <c r="B35" s="20">
        <v>1306.6660092365719</v>
      </c>
      <c r="C35" s="20">
        <v>168.33399076342812</v>
      </c>
    </row>
    <row r="36" spans="1:3" ht="14.25" customHeight="1" x14ac:dyDescent="0.25">
      <c r="A36" s="20">
        <v>11</v>
      </c>
      <c r="B36" s="20">
        <v>1586.8164166913571</v>
      </c>
      <c r="C36" s="20">
        <v>-26.816416691357063</v>
      </c>
    </row>
    <row r="37" spans="1:3" ht="14.25" customHeight="1" x14ac:dyDescent="0.25">
      <c r="A37" s="20">
        <v>12</v>
      </c>
      <c r="B37" s="20">
        <v>1199.4623579514259</v>
      </c>
      <c r="C37" s="20">
        <v>35.537642048574071</v>
      </c>
    </row>
    <row r="38" spans="1:3" ht="14.25" customHeight="1" x14ac:dyDescent="0.25">
      <c r="A38" s="20">
        <v>13</v>
      </c>
      <c r="B38" s="20">
        <v>1118.8797795383307</v>
      </c>
      <c r="C38" s="20">
        <v>-53.879779538330695</v>
      </c>
    </row>
    <row r="39" spans="1:3" ht="14.25" customHeight="1" x14ac:dyDescent="0.25">
      <c r="A39" s="20">
        <v>14</v>
      </c>
      <c r="B39" s="20">
        <v>1056.9139086359332</v>
      </c>
      <c r="C39" s="20">
        <v>-31.91390863593324</v>
      </c>
    </row>
    <row r="40" spans="1:3" ht="14.25" customHeight="1" x14ac:dyDescent="0.25">
      <c r="A40" s="15">
        <v>15</v>
      </c>
      <c r="B40" s="15">
        <v>1729.3648660068502</v>
      </c>
      <c r="C40" s="15">
        <v>-84.364866006850207</v>
      </c>
    </row>
    <row r="41" spans="1:3" ht="14.25" customHeight="1" x14ac:dyDescent="0.25"/>
    <row r="42" spans="1:3" ht="14.25" customHeight="1" x14ac:dyDescent="0.25"/>
    <row r="43" spans="1:3" ht="14.25" customHeight="1" x14ac:dyDescent="0.25"/>
    <row r="44" spans="1:3" ht="14.25" customHeight="1" x14ac:dyDescent="0.25"/>
    <row r="45" spans="1:3" ht="14.25" customHeight="1" x14ac:dyDescent="0.25"/>
    <row r="46" spans="1:3" ht="14.25" customHeight="1" x14ac:dyDescent="0.25"/>
    <row r="47" spans="1:3" ht="14.25" customHeight="1" x14ac:dyDescent="0.25"/>
    <row r="48" spans="1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3:B3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000"/>
  <sheetViews>
    <sheetView topLeftCell="B10" workbookViewId="0"/>
  </sheetViews>
  <sheetFormatPr defaultColWidth="14.42578125" defaultRowHeight="15" customHeight="1" x14ac:dyDescent="0.25"/>
  <cols>
    <col min="1" max="4" width="8.7109375" customWidth="1"/>
    <col min="5" max="5" width="15.140625" customWidth="1"/>
    <col min="6" max="6" width="8.7109375" customWidth="1"/>
    <col min="7" max="7" width="11.5703125" customWidth="1"/>
    <col min="8" max="8" width="8.7109375" customWidth="1"/>
    <col min="9" max="9" width="12.5703125" customWidth="1"/>
    <col min="10" max="26" width="8.7109375" customWidth="1"/>
  </cols>
  <sheetData>
    <row r="1" spans="2:11" ht="14.25" customHeight="1" x14ac:dyDescent="0.25"/>
    <row r="2" spans="2:11" ht="14.25" customHeight="1" x14ac:dyDescent="0.25">
      <c r="B2" s="28" t="s">
        <v>13</v>
      </c>
      <c r="C2" s="29"/>
      <c r="D2" s="29"/>
      <c r="E2" s="30"/>
    </row>
    <row r="3" spans="2:11" ht="14.25" customHeight="1" x14ac:dyDescent="0.25">
      <c r="B3" s="9" t="s">
        <v>14</v>
      </c>
      <c r="C3" s="9" t="s">
        <v>4</v>
      </c>
      <c r="D3" s="10" t="s">
        <v>15</v>
      </c>
      <c r="E3" s="9" t="s">
        <v>5</v>
      </c>
      <c r="I3" s="2" t="s">
        <v>50</v>
      </c>
    </row>
    <row r="4" spans="2:11" ht="14.25" customHeight="1" x14ac:dyDescent="0.25">
      <c r="B4" s="11">
        <v>1</v>
      </c>
      <c r="C4" s="12">
        <v>15</v>
      </c>
      <c r="D4" s="13">
        <v>1500</v>
      </c>
      <c r="E4" s="11">
        <v>1240</v>
      </c>
    </row>
    <row r="5" spans="2:11" ht="14.25" customHeight="1" x14ac:dyDescent="0.25">
      <c r="B5" s="11">
        <v>2</v>
      </c>
      <c r="C5" s="12">
        <v>16.399999999999999</v>
      </c>
      <c r="D5" s="13">
        <v>4000</v>
      </c>
      <c r="E5" s="11">
        <v>950</v>
      </c>
    </row>
    <row r="6" spans="2:11" ht="14.25" customHeight="1" x14ac:dyDescent="0.25">
      <c r="B6" s="11">
        <v>3</v>
      </c>
      <c r="C6" s="12">
        <v>13</v>
      </c>
      <c r="D6" s="13">
        <v>2000</v>
      </c>
      <c r="E6" s="11">
        <v>1580</v>
      </c>
    </row>
    <row r="7" spans="2:11" ht="14.25" customHeight="1" x14ac:dyDescent="0.25">
      <c r="B7" s="11">
        <v>4</v>
      </c>
      <c r="C7" s="12">
        <v>16.5</v>
      </c>
      <c r="D7" s="11">
        <v>3000</v>
      </c>
      <c r="E7" s="11">
        <v>1190</v>
      </c>
    </row>
    <row r="8" spans="2:11" ht="14.25" customHeight="1" x14ac:dyDescent="0.25">
      <c r="B8" s="11">
        <v>5</v>
      </c>
      <c r="C8" s="12">
        <v>12</v>
      </c>
      <c r="D8" s="11">
        <v>1000</v>
      </c>
      <c r="E8" s="11">
        <v>1430</v>
      </c>
      <c r="H8" s="2" t="s">
        <v>4</v>
      </c>
      <c r="I8" s="2" t="s">
        <v>51</v>
      </c>
      <c r="J8" s="2" t="s">
        <v>52</v>
      </c>
      <c r="K8" s="2" t="s">
        <v>53</v>
      </c>
    </row>
    <row r="9" spans="2:11" ht="14.25" customHeight="1" x14ac:dyDescent="0.25">
      <c r="B9" s="11">
        <v>6</v>
      </c>
      <c r="C9" s="12">
        <v>11</v>
      </c>
      <c r="D9" s="11">
        <v>1000</v>
      </c>
      <c r="E9" s="11">
        <v>1560</v>
      </c>
      <c r="H9" s="2">
        <v>11.482093096989468</v>
      </c>
      <c r="I9" s="2">
        <v>1500.0031816246271</v>
      </c>
      <c r="J9" s="2">
        <f>-142*H9+0.1*I9+3092</f>
        <v>1611.5430983899582</v>
      </c>
      <c r="K9" s="2">
        <f>(H9-E20)*J9</f>
        <v>4000.0000000147343</v>
      </c>
    </row>
    <row r="10" spans="2:11" ht="14.25" customHeight="1" x14ac:dyDescent="0.25">
      <c r="B10" s="11">
        <v>7</v>
      </c>
      <c r="C10" s="12">
        <v>14.3</v>
      </c>
      <c r="D10" s="11">
        <v>1000</v>
      </c>
      <c r="E10" s="11">
        <v>1060</v>
      </c>
    </row>
    <row r="11" spans="2:11" ht="14.25" customHeight="1" x14ac:dyDescent="0.25">
      <c r="B11" s="11">
        <v>8</v>
      </c>
      <c r="C11" s="12">
        <v>18.2</v>
      </c>
      <c r="D11" s="13">
        <v>3465</v>
      </c>
      <c r="E11" s="11">
        <v>800</v>
      </c>
      <c r="H11" s="21" t="s">
        <v>54</v>
      </c>
    </row>
    <row r="12" spans="2:11" ht="14.25" customHeight="1" x14ac:dyDescent="0.25">
      <c r="B12" s="11">
        <v>9</v>
      </c>
      <c r="C12" s="12">
        <v>9.6</v>
      </c>
      <c r="D12" s="11">
        <v>1000</v>
      </c>
      <c r="E12" s="11">
        <v>1895</v>
      </c>
    </row>
    <row r="13" spans="2:11" ht="14.25" customHeight="1" x14ac:dyDescent="0.25">
      <c r="B13" s="11">
        <v>10</v>
      </c>
      <c r="C13" s="12">
        <v>15.4</v>
      </c>
      <c r="D13" s="11">
        <v>4000</v>
      </c>
      <c r="E13" s="11">
        <v>1475</v>
      </c>
    </row>
    <row r="14" spans="2:11" ht="14.25" customHeight="1" x14ac:dyDescent="0.25">
      <c r="B14" s="11">
        <v>11</v>
      </c>
      <c r="C14" s="12">
        <v>12</v>
      </c>
      <c r="D14" s="13">
        <v>2000</v>
      </c>
      <c r="E14" s="11">
        <v>1560</v>
      </c>
    </row>
    <row r="15" spans="2:11" ht="14.25" customHeight="1" x14ac:dyDescent="0.25">
      <c r="B15" s="11">
        <v>12</v>
      </c>
      <c r="C15" s="12">
        <v>14</v>
      </c>
      <c r="D15" s="11">
        <v>1000</v>
      </c>
      <c r="E15" s="11">
        <v>1235</v>
      </c>
    </row>
    <row r="16" spans="2:11" ht="14.25" customHeight="1" x14ac:dyDescent="0.25">
      <c r="B16" s="11">
        <v>13</v>
      </c>
      <c r="C16" s="12">
        <v>16</v>
      </c>
      <c r="D16" s="11">
        <v>3000</v>
      </c>
      <c r="E16" s="11">
        <v>1065</v>
      </c>
    </row>
    <row r="17" spans="2:7" ht="14.25" customHeight="1" x14ac:dyDescent="0.25">
      <c r="B17" s="11">
        <v>14</v>
      </c>
      <c r="C17" s="12">
        <v>15</v>
      </c>
      <c r="D17" s="11">
        <v>1000</v>
      </c>
      <c r="E17" s="11">
        <v>1025</v>
      </c>
    </row>
    <row r="18" spans="2:7" ht="14.25" customHeight="1" x14ac:dyDescent="0.25">
      <c r="B18" s="11">
        <v>15</v>
      </c>
      <c r="C18" s="12">
        <v>11</v>
      </c>
      <c r="D18" s="13">
        <v>2000</v>
      </c>
      <c r="E18" s="11">
        <v>1645</v>
      </c>
    </row>
    <row r="19" spans="2:7" ht="14.25" customHeight="1" x14ac:dyDescent="0.25">
      <c r="B19" s="8"/>
      <c r="C19" s="8"/>
      <c r="D19" s="8"/>
      <c r="E19" s="8"/>
    </row>
    <row r="20" spans="2:7" ht="14.25" customHeight="1" x14ac:dyDescent="0.25">
      <c r="B20" s="31" t="s">
        <v>16</v>
      </c>
      <c r="C20" s="32"/>
      <c r="D20" s="32"/>
      <c r="E20" s="17">
        <v>9</v>
      </c>
      <c r="G20" s="2" t="s">
        <v>55</v>
      </c>
    </row>
    <row r="21" spans="2:7" ht="14.25" customHeight="1" x14ac:dyDescent="0.25">
      <c r="B21" s="31" t="s">
        <v>17</v>
      </c>
      <c r="C21" s="32"/>
      <c r="D21" s="32"/>
      <c r="E21" s="17">
        <v>4000</v>
      </c>
      <c r="G21" s="2" t="s">
        <v>56</v>
      </c>
    </row>
    <row r="22" spans="2:7" ht="14.25" customHeight="1" x14ac:dyDescent="0.25">
      <c r="B22" s="31" t="s">
        <v>18</v>
      </c>
      <c r="C22" s="32"/>
      <c r="D22" s="32"/>
      <c r="E22" s="17">
        <v>10000</v>
      </c>
    </row>
    <row r="23" spans="2:7" ht="14.25" customHeight="1" x14ac:dyDescent="0.25">
      <c r="B23" s="16"/>
      <c r="C23" s="16" t="s">
        <v>19</v>
      </c>
      <c r="D23" s="16"/>
      <c r="E23" s="17">
        <v>1000</v>
      </c>
    </row>
    <row r="24" spans="2:7" ht="14.25" customHeight="1" x14ac:dyDescent="0.25"/>
    <row r="25" spans="2:7" ht="14.25" customHeight="1" x14ac:dyDescent="0.25"/>
    <row r="26" spans="2:7" ht="14.25" customHeight="1" x14ac:dyDescent="0.25"/>
    <row r="27" spans="2:7" ht="14.25" customHeight="1" x14ac:dyDescent="0.25"/>
    <row r="28" spans="2:7" ht="14.25" customHeight="1" x14ac:dyDescent="0.25"/>
    <row r="29" spans="2:7" ht="14.25" customHeight="1" x14ac:dyDescent="0.25"/>
    <row r="30" spans="2:7" ht="14.25" customHeight="1" x14ac:dyDescent="0.25"/>
    <row r="31" spans="2:7" ht="14.25" customHeight="1" x14ac:dyDescent="0.25"/>
    <row r="32" spans="2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B2:E2"/>
    <mergeCell ref="B20:D20"/>
    <mergeCell ref="B21:D21"/>
    <mergeCell ref="B22:D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Sheet1</vt:lpstr>
      <vt:lpstr>Sheet6</vt:lpstr>
      <vt:lpstr>Sheet2</vt:lpstr>
      <vt:lpstr>Sheet5</vt:lpstr>
      <vt:lpstr>Sheet4</vt:lpstr>
      <vt:lpstr>Sheet3</vt:lpstr>
      <vt:lpstr>Sheet3!solver_adj</vt:lpstr>
      <vt:lpstr>Sheet3!solver_lhs1</vt:lpstr>
      <vt:lpstr>Sheet3!solver_lhs2</vt:lpstr>
      <vt:lpstr>Sheet3!solver_lhs3</vt:lpstr>
      <vt:lpstr>Sheet3!solver_opt</vt:lpstr>
      <vt:lpstr>Sheet3!solver_rhs1</vt:lpstr>
      <vt:lpstr>Sheet3!solver_rhs2</vt:lpstr>
      <vt:lpstr>Sheet3!solver_rhs3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2020-03-21T12:35:39Z</dcterms:created>
  <dcterms:modified xsi:type="dcterms:W3CDTF">2026-07-20T19:14:33Z</dcterms:modified>
</cp:coreProperties>
</file>